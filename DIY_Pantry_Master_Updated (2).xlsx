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GRED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/>
    </xf>
    <xf numFmtId="0" fontId="4" fillId="4" borderId="2" pivotButton="0" quotePrefix="0" xfId="0"/>
    <xf numFmtId="3" fontId="4" fillId="4" borderId="2" applyAlignment="1" pivotButton="0" quotePrefix="0" xfId="0">
      <alignment horizontal="right"/>
    </xf>
    <xf numFmtId="164" fontId="4" fillId="4" borderId="2" applyAlignment="1" pivotButton="0" quotePrefix="0" xfId="0">
      <alignment horizontal="right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8" customWidth="1" min="3" max="3"/>
    <col width="50" customWidth="1" min="4" max="4"/>
  </cols>
  <sheetData>
    <row r="1">
      <c r="A1" s="1" t="inlineStr">
        <is>
          <t>DIY PANTRY MASTER - EXECUTIVE SUMMARY &amp; CATEGORY TOTALS</t>
        </is>
      </c>
    </row>
    <row r="2"/>
    <row r="3">
      <c r="A3" s="2" t="inlineStr">
        <is>
          <t>Category ID</t>
        </is>
      </c>
      <c r="B3" s="3" t="inlineStr">
        <is>
          <t>Category Name</t>
        </is>
      </c>
      <c r="C3" s="2" t="inlineStr">
        <is>
          <t>Item Count</t>
        </is>
      </c>
      <c r="D3" s="2" t="inlineStr">
        <is>
          <t>Total Price (CAD)</t>
        </is>
      </c>
    </row>
    <row r="4">
      <c r="A4" s="4" t="inlineStr">
        <is>
          <t>CAT-01</t>
        </is>
      </c>
      <c r="B4" s="5" t="inlineStr">
        <is>
          <t>Dairy &amp; Refrigerated</t>
        </is>
      </c>
      <c r="C4" s="6">
        <f>COUNTIF(INGREDIENTS!C:C, "CAT-01")</f>
        <v/>
      </c>
      <c r="D4" s="7">
        <f>SUMIF(INGREDIENTS!C:C, "CAT-01", INGREDIENTS!E:E)</f>
        <v/>
      </c>
    </row>
    <row r="5">
      <c r="A5" s="8" t="inlineStr">
        <is>
          <t>CAT-02</t>
        </is>
      </c>
      <c r="B5" s="9" t="inlineStr">
        <is>
          <t>Produce &amp; Fresh Fruit</t>
        </is>
      </c>
      <c r="C5" s="10">
        <f>COUNTIF(INGREDIENTS!C:C, "CAT-02")</f>
        <v/>
      </c>
      <c r="D5" s="11">
        <f>SUMIF(INGREDIENTS!C:C, "CAT-02", INGREDIENTS!E:E)</f>
        <v/>
      </c>
    </row>
    <row r="6">
      <c r="A6" s="4" t="inlineStr">
        <is>
          <t>CAT-03</t>
        </is>
      </c>
      <c r="B6" s="5" t="inlineStr">
        <is>
          <t>Meat, Poultry &amp; Seafood</t>
        </is>
      </c>
      <c r="C6" s="6">
        <f>COUNTIF(INGREDIENTS!C:C, "CAT-03")</f>
        <v/>
      </c>
      <c r="D6" s="7">
        <f>SUMIF(INGREDIENTS!C:C, "CAT-03", INGREDIENTS!E:E)</f>
        <v/>
      </c>
    </row>
    <row r="7">
      <c r="A7" s="8" t="inlineStr">
        <is>
          <t>CAT-04</t>
        </is>
      </c>
      <c r="B7" s="9" t="inlineStr">
        <is>
          <t>Pantry, Baking &amp; Dry Goods</t>
        </is>
      </c>
      <c r="C7" s="10">
        <f>COUNTIF(INGREDIENTS!C:C, "CAT-04")</f>
        <v/>
      </c>
      <c r="D7" s="11">
        <f>SUMIF(INGREDIENTS!C:C, "CAT-04", INGREDIENTS!E:E)</f>
        <v/>
      </c>
    </row>
    <row r="8">
      <c r="A8" s="4" t="inlineStr">
        <is>
          <t>CAT-05</t>
        </is>
      </c>
      <c r="B8" s="5" t="inlineStr">
        <is>
          <t>Asian Specialties, Sauces &amp; Oils</t>
        </is>
      </c>
      <c r="C8" s="6">
        <f>COUNTIF(INGREDIENTS!C:C, "CAT-05")</f>
        <v/>
      </c>
      <c r="D8" s="7">
        <f>SUMIF(INGREDIENTS!C:C, "CAT-05", INGREDIENTS!E:E)</f>
        <v/>
      </c>
    </row>
    <row r="9">
      <c r="A9" s="8" t="inlineStr">
        <is>
          <t>CAT-06</t>
        </is>
      </c>
      <c r="B9" s="9" t="inlineStr">
        <is>
          <t>Nuts, Seeds &amp; Specialty Add-ins</t>
        </is>
      </c>
      <c r="C9" s="10">
        <f>COUNTIF(INGREDIENTS!C:C, "CAT-06")</f>
        <v/>
      </c>
      <c r="D9" s="11">
        <f>SUMIF(INGREDIENTS!C:C, "CAT-06", INGREDIENTS!E:E)</f>
        <v/>
      </c>
    </row>
    <row r="10">
      <c r="A10" s="4" t="inlineStr">
        <is>
          <t>CAT-07</t>
        </is>
      </c>
      <c r="B10" s="5" t="inlineStr">
        <is>
          <t>Packaging &amp; Non-Food Supplies</t>
        </is>
      </c>
      <c r="C10" s="6">
        <f>COUNTIF(INGREDIENTS!C:C, "CAT-07")</f>
        <v/>
      </c>
      <c r="D10" s="7">
        <f>SUMIF(INGREDIENTS!C:C, "CAT-07", INGREDIENTS!E:E)</f>
        <v/>
      </c>
    </row>
    <row r="11">
      <c r="A11" s="12" t="inlineStr">
        <is>
          <t>TOTAL</t>
        </is>
      </c>
      <c r="B11" s="13" t="inlineStr">
        <is>
          <t>Grand Total Pantry Cost</t>
        </is>
      </c>
      <c r="C11" s="14">
        <f>SUM(C4:C10)</f>
        <v/>
      </c>
      <c r="D11" s="15">
        <f>SUM(D4:D10)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35" customWidth="1" min="4" max="4"/>
    <col width="15" customWidth="1" min="5" max="5"/>
    <col width="50" customWidth="1" min="6" max="6"/>
    <col width="26" customWidth="1" min="7" max="7"/>
  </cols>
  <sheetData>
    <row r="1">
      <c r="A1" s="2" t="inlineStr">
        <is>
          <t>#</t>
        </is>
      </c>
      <c r="B1" s="3" t="inlineStr">
        <is>
          <t>Ingredient Item</t>
        </is>
      </c>
      <c r="C1" s="2" t="inlineStr">
        <is>
          <t>Category ID</t>
        </is>
      </c>
      <c r="D1" s="3" t="inlineStr">
        <is>
          <t>Category Name</t>
        </is>
      </c>
      <c r="E1" s="16" t="inlineStr">
        <is>
          <t>Price (CAD)</t>
        </is>
      </c>
      <c r="F1" s="3" t="inlineStr">
        <is>
          <t>Recipes Used In</t>
        </is>
      </c>
      <c r="G1" s="3" t="inlineStr">
        <is>
          <t>Notes</t>
        </is>
      </c>
    </row>
    <row r="2">
      <c r="A2" s="8" t="n">
        <v>1</v>
      </c>
      <c r="B2" s="17" t="inlineStr">
        <is>
          <t>Sweetened Condensed Milk</t>
        </is>
      </c>
      <c r="C2" s="8" t="inlineStr">
        <is>
          <t>CAT-01</t>
        </is>
      </c>
      <c r="D2" s="17" t="inlineStr">
        <is>
          <t>Dairy &amp; Refrigerated</t>
        </is>
      </c>
      <c r="E2" s="11" t="n">
        <v>15</v>
      </c>
      <c r="F2" s="17" t="inlineStr">
        <is>
          <t>Leche Flan, Rocky Road, Cookies 'N Cream, Taro Slush, Yema, Pastillas, Brazo de Mercedes</t>
        </is>
      </c>
      <c r="G2" s="17" t="inlineStr">
        <is>
          <t>6 cans (14 oz / 395g)</t>
        </is>
      </c>
    </row>
    <row r="3">
      <c r="A3" s="4" t="n">
        <v>2</v>
      </c>
      <c r="B3" s="18" t="inlineStr">
        <is>
          <t>Heavy Whipping Cream</t>
        </is>
      </c>
      <c r="C3" s="4" t="inlineStr">
        <is>
          <t>CAT-01</t>
        </is>
      </c>
      <c r="D3" s="18" t="inlineStr">
        <is>
          <t>Dairy &amp; Refrigerated</t>
        </is>
      </c>
      <c r="E3" s="7" t="n">
        <v>12</v>
      </c>
      <c r="F3" s="18" t="inlineStr">
        <is>
          <t>Rocky Road, Cookies 'N Cream, Mango Sponge Cake, Egg Tarts, Shortcake</t>
        </is>
      </c>
      <c r="G3" s="18" t="inlineStr">
        <is>
          <t>2 cartons (32 oz)</t>
        </is>
      </c>
    </row>
    <row r="4">
      <c r="A4" s="8" t="n">
        <v>3</v>
      </c>
      <c r="B4" s="17" t="inlineStr">
        <is>
          <t>Large Eggs</t>
        </is>
      </c>
      <c r="C4" s="8" t="inlineStr">
        <is>
          <t>CAT-01</t>
        </is>
      </c>
      <c r="D4" s="17" t="inlineStr">
        <is>
          <t>Dairy &amp; Refrigerated</t>
        </is>
      </c>
      <c r="E4" s="11" t="n">
        <v>16</v>
      </c>
      <c r="F4" s="17" t="inlineStr">
        <is>
          <t>Sans Rival, Mango Cake, Leche Flan, Yema, Egg Tarts, Golden Fried Rice</t>
        </is>
      </c>
      <c r="G4" s="17" t="inlineStr">
        <is>
          <t>4 dozen (48 eggs total)</t>
        </is>
      </c>
    </row>
    <row r="5">
      <c r="A5" s="4" t="n">
        <v>4</v>
      </c>
      <c r="B5" s="18" t="inlineStr">
        <is>
          <t>Unsalted Butter</t>
        </is>
      </c>
      <c r="C5" s="4" t="inlineStr">
        <is>
          <t>CAT-01</t>
        </is>
      </c>
      <c r="D5" s="18" t="inlineStr">
        <is>
          <t>Dairy &amp; Refrigerated</t>
        </is>
      </c>
      <c r="E5" s="7" t="n">
        <v>9</v>
      </c>
      <c r="F5" s="18" t="inlineStr">
        <is>
          <t>Sans Rival, Yema, Pastillas, Shortcake, Churros, Brazo de Mercedes</t>
        </is>
      </c>
      <c r="G5" s="18" t="inlineStr">
        <is>
          <t>2 lbs (8 sticks)</t>
        </is>
      </c>
    </row>
    <row r="6">
      <c r="A6" s="8" t="n">
        <v>5</v>
      </c>
      <c r="B6" s="17" t="inlineStr">
        <is>
          <t>Whole Milk</t>
        </is>
      </c>
      <c r="C6" s="8" t="inlineStr">
        <is>
          <t>CAT-01</t>
        </is>
      </c>
      <c r="D6" s="17" t="inlineStr">
        <is>
          <t>Dairy &amp; Refrigerated</t>
        </is>
      </c>
      <c r="E6" s="11" t="n">
        <v>4.5</v>
      </c>
      <c r="F6" s="17" t="inlineStr">
        <is>
          <t>Egg Tarts, Taro Slush, Cookies 'N Cream Shake, Mango Cake</t>
        </is>
      </c>
      <c r="G6" s="17" t="inlineStr">
        <is>
          <t>1 gallon</t>
        </is>
      </c>
    </row>
    <row r="7">
      <c r="A7" s="4" t="n">
        <v>6</v>
      </c>
      <c r="B7" s="18" t="inlineStr">
        <is>
          <t>Evaporated Milk</t>
        </is>
      </c>
      <c r="C7" s="4" t="inlineStr">
        <is>
          <t>CAT-01</t>
        </is>
      </c>
      <c r="D7" s="18" t="inlineStr">
        <is>
          <t>Dairy &amp; Refrigerated</t>
        </is>
      </c>
      <c r="E7" s="7" t="n">
        <v>2.25</v>
      </c>
      <c r="F7" s="18" t="inlineStr">
        <is>
          <t>Classic DIY Leche Flan</t>
        </is>
      </c>
      <c r="G7" s="18" t="inlineStr">
        <is>
          <t>1 can (12 oz / 354 mL)</t>
        </is>
      </c>
    </row>
    <row r="8">
      <c r="A8" s="8" t="n">
        <v>7</v>
      </c>
      <c r="B8" s="17" t="inlineStr">
        <is>
          <t>Powdered Milk (Full-Cream)</t>
        </is>
      </c>
      <c r="C8" s="8" t="inlineStr">
        <is>
          <t>CAT-01</t>
        </is>
      </c>
      <c r="D8" s="17" t="inlineStr">
        <is>
          <t>Dairy &amp; Refrigerated</t>
        </is>
      </c>
      <c r="E8" s="11" t="n">
        <v>5</v>
      </c>
      <c r="F8" s="17" t="inlineStr">
        <is>
          <t>Pastillas de Leche</t>
        </is>
      </c>
      <c r="G8" s="17" t="inlineStr">
        <is>
          <t>1 container (16 oz)</t>
        </is>
      </c>
    </row>
    <row r="9">
      <c r="A9" s="4" t="n">
        <v>8</v>
      </c>
      <c r="B9" s="18" t="inlineStr">
        <is>
          <t>Buttermilk</t>
        </is>
      </c>
      <c r="C9" s="4" t="inlineStr">
        <is>
          <t>CAT-01</t>
        </is>
      </c>
      <c r="D9" s="18" t="inlineStr">
        <is>
          <t>Dairy &amp; Refrigerated</t>
        </is>
      </c>
      <c r="E9" s="7" t="n">
        <v>2.2</v>
      </c>
      <c r="F9" s="18" t="inlineStr">
        <is>
          <t>Fresh Strawberry Shortcake</t>
        </is>
      </c>
      <c r="G9" s="18" t="inlineStr">
        <is>
          <t>1 carton (16 oz)</t>
        </is>
      </c>
    </row>
    <row r="10">
      <c r="A10" s="8" t="n">
        <v>9</v>
      </c>
      <c r="B10" s="17" t="inlineStr">
        <is>
          <t>Sour Cream / Cream Cheese</t>
        </is>
      </c>
      <c r="C10" s="8" t="inlineStr">
        <is>
          <t>CAT-01</t>
        </is>
      </c>
      <c r="D10" s="17" t="inlineStr">
        <is>
          <t>Dairy &amp; Refrigerated</t>
        </is>
      </c>
      <c r="E10" s="11" t="n">
        <v>3</v>
      </c>
      <c r="F10" s="17" t="inlineStr">
        <is>
          <t>Moist Banana Cake with Cream Cheese Frosting</t>
        </is>
      </c>
      <c r="G10" s="17" t="inlineStr">
        <is>
          <t>1 tub (8 oz)</t>
        </is>
      </c>
    </row>
    <row r="11">
      <c r="A11" s="4" t="n">
        <v>10</v>
      </c>
      <c r="B11" s="18" t="inlineStr">
        <is>
          <t>Cheddar Cheese (Shredded/Block)</t>
        </is>
      </c>
      <c r="C11" s="4" t="inlineStr">
        <is>
          <t>CAT-01</t>
        </is>
      </c>
      <c r="D11" s="18" t="inlineStr">
        <is>
          <t>Dairy &amp; Refrigerated</t>
        </is>
      </c>
      <c r="E11" s="7" t="n">
        <v>3</v>
      </c>
      <c r="F11" s="18" t="inlineStr">
        <is>
          <t>Crispy Cheese Tots, Cassava Pichi-Pichi</t>
        </is>
      </c>
      <c r="G11" s="18" t="inlineStr">
        <is>
          <t>1 pack (8 oz)</t>
        </is>
      </c>
    </row>
    <row r="12">
      <c r="A12" s="8" t="n">
        <v>11</v>
      </c>
      <c r="B12" s="17" t="inlineStr">
        <is>
          <t>Fresh Strawberries</t>
        </is>
      </c>
      <c r="C12" s="8" t="inlineStr">
        <is>
          <t>CAT-02</t>
        </is>
      </c>
      <c r="D12" s="17" t="inlineStr">
        <is>
          <t>Produce &amp; Fresh Fruit</t>
        </is>
      </c>
      <c r="E12" s="11" t="n">
        <v>4.5</v>
      </c>
      <c r="F12" s="17" t="inlineStr">
        <is>
          <t>Fresh Strawberry Shortcake</t>
        </is>
      </c>
      <c r="G12" s="17" t="inlineStr">
        <is>
          <t>1 lb</t>
        </is>
      </c>
    </row>
    <row r="13">
      <c r="A13" s="4" t="n">
        <v>12</v>
      </c>
      <c r="B13" s="18" t="inlineStr">
        <is>
          <t>Fresh Ripe Mangos (Ataulfo/Honey)</t>
        </is>
      </c>
      <c r="C13" s="4" t="inlineStr">
        <is>
          <t>CAT-02</t>
        </is>
      </c>
      <c r="D13" s="18" t="inlineStr">
        <is>
          <t>Produce &amp; Fresh Fruit</t>
        </is>
      </c>
      <c r="E13" s="7" t="n">
        <v>6</v>
      </c>
      <c r="F13" s="18" t="inlineStr">
        <is>
          <t>DIY Fresh Mango Sponge Cake</t>
        </is>
      </c>
      <c r="G13" s="18" t="inlineStr">
        <is>
          <t>3 large sweet mangos</t>
        </is>
      </c>
    </row>
    <row r="14">
      <c r="A14" s="8" t="n">
        <v>13</v>
      </c>
      <c r="B14" s="17" t="inlineStr">
        <is>
          <t>Ripe Bananas</t>
        </is>
      </c>
      <c r="C14" s="8" t="inlineStr">
        <is>
          <t>CAT-02</t>
        </is>
      </c>
      <c r="D14" s="17" t="inlineStr">
        <is>
          <t>Produce &amp; Fresh Fruit</t>
        </is>
      </c>
      <c r="E14" s="11" t="n">
        <v>2</v>
      </c>
      <c r="F14" s="17" t="inlineStr">
        <is>
          <t>Moist Banana Cake</t>
        </is>
      </c>
      <c r="G14" s="17" t="inlineStr">
        <is>
          <t>1 bunch (3-4 ripe)</t>
        </is>
      </c>
    </row>
    <row r="15">
      <c r="A15" s="4" t="n">
        <v>14</v>
      </c>
      <c r="B15" s="18" t="inlineStr">
        <is>
          <t>Sweet Potatoes</t>
        </is>
      </c>
      <c r="C15" s="4" t="inlineStr">
        <is>
          <t>CAT-02</t>
        </is>
      </c>
      <c r="D15" s="18" t="inlineStr">
        <is>
          <t>Produce &amp; Fresh Fruit</t>
        </is>
      </c>
      <c r="E15" s="7" t="n">
        <v>2</v>
      </c>
      <c r="F15" s="18" t="inlineStr">
        <is>
          <t>Cocker Spaniel Duck &amp; Sweet Potato Dinner</t>
        </is>
      </c>
      <c r="G15" s="18" t="inlineStr">
        <is>
          <t>1 lb</t>
        </is>
      </c>
    </row>
    <row r="16">
      <c r="A16" s="8" t="n">
        <v>15</v>
      </c>
      <c r="B16" s="17" t="inlineStr">
        <is>
          <t>Carrots</t>
        </is>
      </c>
      <c r="C16" s="8" t="inlineStr">
        <is>
          <t>CAT-02</t>
        </is>
      </c>
      <c r="D16" s="17" t="inlineStr">
        <is>
          <t>Produce &amp; Fresh Fruit</t>
        </is>
      </c>
      <c r="E16" s="11" t="n">
        <v>1.5</v>
      </c>
      <c r="F16" s="17" t="inlineStr">
        <is>
          <t>Cocker Spaniel Dinner, Beef Bulgogi Noodle</t>
        </is>
      </c>
      <c r="G16" s="17" t="inlineStr">
        <is>
          <t>1 lb</t>
        </is>
      </c>
    </row>
    <row r="17">
      <c r="A17" s="4" t="n">
        <v>16</v>
      </c>
      <c r="B17" s="18" t="inlineStr">
        <is>
          <t>Zucchini</t>
        </is>
      </c>
      <c r="C17" s="4" t="inlineStr">
        <is>
          <t>CAT-02</t>
        </is>
      </c>
      <c r="D17" s="18" t="inlineStr">
        <is>
          <t>Produce &amp; Fresh Fruit</t>
        </is>
      </c>
      <c r="E17" s="7" t="n">
        <v>1.5</v>
      </c>
      <c r="F17" s="18" t="inlineStr">
        <is>
          <t>Cocker Spaniel Duck &amp; Sweet Potato Dinner</t>
        </is>
      </c>
      <c r="G17" s="18" t="inlineStr">
        <is>
          <t>1 medium</t>
        </is>
      </c>
    </row>
    <row r="18">
      <c r="A18" s="8" t="n">
        <v>17</v>
      </c>
      <c r="B18" s="17" t="inlineStr">
        <is>
          <t>Yellow / White Onions</t>
        </is>
      </c>
      <c r="C18" s="8" t="inlineStr">
        <is>
          <t>CAT-02</t>
        </is>
      </c>
      <c r="D18" s="17" t="inlineStr">
        <is>
          <t>Produce &amp; Fresh Fruit</t>
        </is>
      </c>
      <c r="E18" s="11" t="n">
        <v>1.5</v>
      </c>
      <c r="F18" s="17" t="inlineStr">
        <is>
          <t>Beef Bulgogi Stir-Fry Noodles</t>
        </is>
      </c>
      <c r="G18" s="17" t="inlineStr">
        <is>
          <t>2 medium</t>
        </is>
      </c>
    </row>
    <row r="19">
      <c r="A19" s="4" t="n">
        <v>18</v>
      </c>
      <c r="B19" s="18" t="inlineStr">
        <is>
          <t>Green Onions / Scallions</t>
        </is>
      </c>
      <c r="C19" s="4" t="inlineStr">
        <is>
          <t>CAT-02</t>
        </is>
      </c>
      <c r="D19" s="18" t="inlineStr">
        <is>
          <t>Produce &amp; Fresh Fruit</t>
        </is>
      </c>
      <c r="E19" s="7" t="n">
        <v>1.5</v>
      </c>
      <c r="F19" s="18" t="inlineStr">
        <is>
          <t>Golden Fried Rice, Mapo Tofu, Beef Bulgogi Noodle</t>
        </is>
      </c>
      <c r="G19" s="18" t="inlineStr">
        <is>
          <t>1 bunch</t>
        </is>
      </c>
    </row>
    <row r="20">
      <c r="A20" s="8" t="n">
        <v>19</v>
      </c>
      <c r="B20" s="17" t="inlineStr">
        <is>
          <t>Fresh Garlic</t>
        </is>
      </c>
      <c r="C20" s="8" t="inlineStr">
        <is>
          <t>CAT-02</t>
        </is>
      </c>
      <c r="D20" s="17" t="inlineStr">
        <is>
          <t>Produce &amp; Fresh Fruit</t>
        </is>
      </c>
      <c r="E20" s="11" t="n">
        <v>2</v>
      </c>
      <c r="F20" s="17" t="inlineStr">
        <is>
          <t>Classic Filipino Tapsilog, Mapo Tofu, Beef Bulgogi Noodle</t>
        </is>
      </c>
      <c r="G20" s="17" t="inlineStr">
        <is>
          <t>2 heads</t>
        </is>
      </c>
    </row>
    <row r="21">
      <c r="A21" s="4" t="n">
        <v>20</v>
      </c>
      <c r="B21" s="18" t="inlineStr">
        <is>
          <t>Fresh Ginger</t>
        </is>
      </c>
      <c r="C21" s="4" t="inlineStr">
        <is>
          <t>CAT-02</t>
        </is>
      </c>
      <c r="D21" s="18" t="inlineStr">
        <is>
          <t>Produce &amp; Fresh Fruit</t>
        </is>
      </c>
      <c r="E21" s="7" t="n">
        <v>1</v>
      </c>
      <c r="F21" s="18" t="inlineStr">
        <is>
          <t>Authentic Sichuan Mapo Tofu</t>
        </is>
      </c>
      <c r="G21" s="18" t="inlineStr">
        <is>
          <t>1 piece</t>
        </is>
      </c>
    </row>
    <row r="22">
      <c r="A22" s="8" t="n">
        <v>21</v>
      </c>
      <c r="B22" s="17" t="inlineStr">
        <is>
          <t>Fresh Calamansi / Lemons</t>
        </is>
      </c>
      <c r="C22" s="8" t="inlineStr">
        <is>
          <t>CAT-02</t>
        </is>
      </c>
      <c r="D22" s="17" t="inlineStr">
        <is>
          <t>Produce &amp; Fresh Fruit</t>
        </is>
      </c>
      <c r="E22" s="11" t="n">
        <v>3</v>
      </c>
      <c r="F22" s="17" t="inlineStr">
        <is>
          <t>Classic Filipino Tapsilog</t>
        </is>
      </c>
      <c r="G22" s="17" t="inlineStr">
        <is>
          <t>1 pack</t>
        </is>
      </c>
    </row>
    <row r="23">
      <c r="A23" s="4" t="n">
        <v>22</v>
      </c>
      <c r="B23" s="18" t="inlineStr">
        <is>
          <t>Steamed Taro Root / Taro Powder</t>
        </is>
      </c>
      <c r="C23" s="4" t="inlineStr">
        <is>
          <t>CAT-02</t>
        </is>
      </c>
      <c r="D23" s="18" t="inlineStr">
        <is>
          <t>Produce &amp; Fresh Fruit</t>
        </is>
      </c>
      <c r="E23" s="7" t="n">
        <v>3</v>
      </c>
      <c r="F23" s="18" t="inlineStr">
        <is>
          <t>Creamy Taro Slush</t>
        </is>
      </c>
      <c r="G23" s="18" t="inlineStr">
        <is>
          <t>1 lb</t>
        </is>
      </c>
    </row>
    <row r="24">
      <c r="A24" s="8" t="n">
        <v>23</v>
      </c>
      <c r="B24" s="17" t="inlineStr">
        <is>
          <t>Russet Potatoes</t>
        </is>
      </c>
      <c r="C24" s="8" t="inlineStr">
        <is>
          <t>CAT-02</t>
        </is>
      </c>
      <c r="D24" s="17" t="inlineStr">
        <is>
          <t>Produce &amp; Fresh Fruit</t>
        </is>
      </c>
      <c r="E24" s="11" t="n">
        <v>2.5</v>
      </c>
      <c r="F24" s="17" t="inlineStr">
        <is>
          <t>Crispy Homemade Cheese Tots</t>
        </is>
      </c>
      <c r="G24" s="17" t="inlineStr">
        <is>
          <t>3 medium</t>
        </is>
      </c>
    </row>
    <row r="25">
      <c r="A25" s="4" t="n">
        <v>24</v>
      </c>
      <c r="B25" s="18" t="inlineStr">
        <is>
          <t>Ground Duck</t>
        </is>
      </c>
      <c r="C25" s="4" t="inlineStr">
        <is>
          <t>CAT-03</t>
        </is>
      </c>
      <c r="D25" s="18" t="inlineStr">
        <is>
          <t>Meat, Poultry &amp; Seafood</t>
        </is>
      </c>
      <c r="E25" s="7" t="n">
        <v>10</v>
      </c>
      <c r="F25" s="18" t="inlineStr">
        <is>
          <t>Cocker Spaniel Duck &amp; Sweet Potato Dinner</t>
        </is>
      </c>
      <c r="G25" s="18" t="inlineStr">
        <is>
          <t>1 lb (450g)</t>
        </is>
      </c>
    </row>
    <row r="26">
      <c r="A26" s="8" t="n">
        <v>25</v>
      </c>
      <c r="B26" s="17" t="inlineStr">
        <is>
          <t>Beef Sirloin</t>
        </is>
      </c>
      <c r="C26" s="8" t="inlineStr">
        <is>
          <t>CAT-03</t>
        </is>
      </c>
      <c r="D26" s="17" t="inlineStr">
        <is>
          <t>Meat, Poultry &amp; Seafood</t>
        </is>
      </c>
      <c r="E26" s="11" t="n">
        <v>10</v>
      </c>
      <c r="F26" s="17" t="inlineStr">
        <is>
          <t>Savory Beef Bulgogi Noodle, Classic Filipino Tapsilog</t>
        </is>
      </c>
      <c r="G26" s="17" t="inlineStr">
        <is>
          <t>1.5 lbs</t>
        </is>
      </c>
    </row>
    <row r="27">
      <c r="A27" s="4" t="n">
        <v>26</v>
      </c>
      <c r="B27" s="18" t="inlineStr">
        <is>
          <t>Minced Pork / Beef</t>
        </is>
      </c>
      <c r="C27" s="4" t="inlineStr">
        <is>
          <t>CAT-03</t>
        </is>
      </c>
      <c r="D27" s="18" t="inlineStr">
        <is>
          <t>Meat, Poultry &amp; Seafood</t>
        </is>
      </c>
      <c r="E27" s="7" t="n">
        <v>5</v>
      </c>
      <c r="F27" s="18" t="inlineStr">
        <is>
          <t>Authentic Sichuan Mapo Tofu</t>
        </is>
      </c>
      <c r="G27" s="18" t="inlineStr">
        <is>
          <t>0.5 lb</t>
        </is>
      </c>
    </row>
    <row r="28">
      <c r="A28" s="8" t="n">
        <v>27</v>
      </c>
      <c r="B28" s="17" t="inlineStr">
        <is>
          <t>Granulated White Sugar</t>
        </is>
      </c>
      <c r="C28" s="8" t="inlineStr">
        <is>
          <t>CAT-04</t>
        </is>
      </c>
      <c r="D28" s="17" t="inlineStr">
        <is>
          <t>Pantry, Baking &amp; Dry Goods</t>
        </is>
      </c>
      <c r="E28" s="11" t="n">
        <v>4.5</v>
      </c>
      <c r="F28" s="17" t="inlineStr">
        <is>
          <t>Sans Rival, Leche Flan, Mango Cake, Shortcake, Pichi-Pichi, Churros</t>
        </is>
      </c>
      <c r="G28" s="17" t="inlineStr">
        <is>
          <t>1 bag (4 lbs)</t>
        </is>
      </c>
    </row>
    <row r="29">
      <c r="A29" s="4" t="n">
        <v>28</v>
      </c>
      <c r="B29" s="18" t="inlineStr">
        <is>
          <t>Brown Sugar</t>
        </is>
      </c>
      <c r="C29" s="4" t="inlineStr">
        <is>
          <t>CAT-04</t>
        </is>
      </c>
      <c r="D29" s="18" t="inlineStr">
        <is>
          <t>Pantry, Baking &amp; Dry Goods</t>
        </is>
      </c>
      <c r="E29" s="7" t="n">
        <v>2.5</v>
      </c>
      <c r="F29" s="18" t="inlineStr">
        <is>
          <t>Beef Bulgogi Stir-Fry Noodles, Tapsilog</t>
        </is>
      </c>
      <c r="G29" s="18" t="inlineStr">
        <is>
          <t>1 bag (2 lbs)</t>
        </is>
      </c>
    </row>
    <row r="30">
      <c r="A30" s="8" t="n">
        <v>29</v>
      </c>
      <c r="B30" s="17" t="inlineStr">
        <is>
          <t>Powdered Sugar</t>
        </is>
      </c>
      <c r="C30" s="8" t="inlineStr">
        <is>
          <t>CAT-04</t>
        </is>
      </c>
      <c r="D30" s="17" t="inlineStr">
        <is>
          <t>Pantry, Baking &amp; Dry Goods</t>
        </is>
      </c>
      <c r="E30" s="11" t="n">
        <v>2.5</v>
      </c>
      <c r="F30" s="17" t="inlineStr">
        <is>
          <t>Mango Cake, Strawberry Shortcake</t>
        </is>
      </c>
      <c r="G30" s="17" t="inlineStr">
        <is>
          <t>1 bag (16 oz)</t>
        </is>
      </c>
    </row>
    <row r="31">
      <c r="A31" s="4" t="n">
        <v>30</v>
      </c>
      <c r="B31" s="18" t="inlineStr">
        <is>
          <t>Superfine Sugar</t>
        </is>
      </c>
      <c r="C31" s="4" t="inlineStr">
        <is>
          <t>CAT-04</t>
        </is>
      </c>
      <c r="D31" s="18" t="inlineStr">
        <is>
          <t>Pantry, Baking &amp; Dry Goods</t>
        </is>
      </c>
      <c r="E31" s="7" t="n">
        <v>2</v>
      </c>
      <c r="F31" s="18" t="inlineStr">
        <is>
          <t>Macao-Style Egg Tarts</t>
        </is>
      </c>
      <c r="G31" s="18" t="inlineStr">
        <is>
          <t>1 bag (16 oz)</t>
        </is>
      </c>
    </row>
    <row r="32">
      <c r="A32" s="8" t="n">
        <v>31</v>
      </c>
      <c r="B32" s="17" t="inlineStr">
        <is>
          <t>All-Purpose Flour</t>
        </is>
      </c>
      <c r="C32" s="8" t="inlineStr">
        <is>
          <t>CAT-04</t>
        </is>
      </c>
      <c r="D32" s="17" t="inlineStr">
        <is>
          <t>Pantry, Baking &amp; Dry Goods</t>
        </is>
      </c>
      <c r="E32" s="11" t="n">
        <v>4</v>
      </c>
      <c r="F32" s="17" t="inlineStr">
        <is>
          <t>Strawberry Shortcake, Cinnamon Churros</t>
        </is>
      </c>
      <c r="G32" s="17" t="inlineStr">
        <is>
          <t>1 bag (5 lbs)</t>
        </is>
      </c>
    </row>
    <row r="33">
      <c r="A33" s="4" t="n">
        <v>32</v>
      </c>
      <c r="B33" s="18" t="inlineStr">
        <is>
          <t>Cake Flour</t>
        </is>
      </c>
      <c r="C33" s="4" t="inlineStr">
        <is>
          <t>CAT-04</t>
        </is>
      </c>
      <c r="D33" s="18" t="inlineStr">
        <is>
          <t>Pantry, Baking &amp; Dry Goods</t>
        </is>
      </c>
      <c r="E33" s="7" t="n">
        <v>3.5</v>
      </c>
      <c r="F33" s="18" t="inlineStr">
        <is>
          <t>DIY Fresh Mango Sponge Cake</t>
        </is>
      </c>
      <c r="G33" s="18" t="inlineStr">
        <is>
          <t>1 box (32 oz)</t>
        </is>
      </c>
    </row>
    <row r="34">
      <c r="A34" s="8" t="n">
        <v>33</v>
      </c>
      <c r="B34" s="17" t="inlineStr">
        <is>
          <t>Unsweetened Cocoa Powder</t>
        </is>
      </c>
      <c r="C34" s="8" t="inlineStr">
        <is>
          <t>CAT-04</t>
        </is>
      </c>
      <c r="D34" s="17" t="inlineStr">
        <is>
          <t>Pantry, Baking &amp; Dry Goods</t>
        </is>
      </c>
      <c r="E34" s="11" t="n">
        <v>3.5</v>
      </c>
      <c r="F34" s="17" t="inlineStr">
        <is>
          <t>DIY No-Churn Rocky Road Ice Cream</t>
        </is>
      </c>
      <c r="G34" s="17" t="inlineStr">
        <is>
          <t>1 tub (8 oz)</t>
        </is>
      </c>
    </row>
    <row r="35">
      <c r="A35" s="4" t="n">
        <v>34</v>
      </c>
      <c r="B35" s="18" t="inlineStr">
        <is>
          <t>Baking Powder</t>
        </is>
      </c>
      <c r="C35" s="4" t="inlineStr">
        <is>
          <t>CAT-04</t>
        </is>
      </c>
      <c r="D35" s="18" t="inlineStr">
        <is>
          <t>Pantry, Baking &amp; Dry Goods</t>
        </is>
      </c>
      <c r="E35" s="7" t="n">
        <v>2</v>
      </c>
      <c r="F35" s="18" t="inlineStr">
        <is>
          <t>Ube Crème Decadence Cake, Strawberry Shortcake</t>
        </is>
      </c>
      <c r="G35" s="18" t="inlineStr">
        <is>
          <t>1 can (8 oz)</t>
        </is>
      </c>
    </row>
    <row r="36">
      <c r="A36" s="8" t="n">
        <v>35</v>
      </c>
      <c r="B36" s="17" t="inlineStr">
        <is>
          <t>Cream of Tartar</t>
        </is>
      </c>
      <c r="C36" s="8" t="inlineStr">
        <is>
          <t>CAT-04</t>
        </is>
      </c>
      <c r="D36" s="17" t="inlineStr">
        <is>
          <t>Pantry, Baking &amp; Dry Goods</t>
        </is>
      </c>
      <c r="E36" s="11" t="n">
        <v>3</v>
      </c>
      <c r="F36" s="17" t="inlineStr">
        <is>
          <t>Sans Rival, Mango Cake, Brazo de Mercedes</t>
        </is>
      </c>
      <c r="G36" s="17" t="inlineStr">
        <is>
          <t>1 container</t>
        </is>
      </c>
    </row>
    <row r="37">
      <c r="A37" s="4" t="n">
        <v>36</v>
      </c>
      <c r="B37" s="18" t="inlineStr">
        <is>
          <t>Cornstarch</t>
        </is>
      </c>
      <c r="C37" s="4" t="inlineStr">
        <is>
          <t>CAT-04</t>
        </is>
      </c>
      <c r="D37" s="18" t="inlineStr">
        <is>
          <t>Pantry, Baking &amp; Dry Goods</t>
        </is>
      </c>
      <c r="E37" s="7" t="n">
        <v>2</v>
      </c>
      <c r="F37" s="18" t="inlineStr">
        <is>
          <t>Mapo Tofu, Cheese Tots</t>
        </is>
      </c>
      <c r="G37" s="18" t="inlineStr">
        <is>
          <t>1 box (16 oz)</t>
        </is>
      </c>
    </row>
    <row r="38">
      <c r="A38" s="8" t="n">
        <v>37</v>
      </c>
      <c r="B38" s="17" t="inlineStr">
        <is>
          <t>Green Agar-Agar Powder (Gulaman)</t>
        </is>
      </c>
      <c r="C38" s="8" t="inlineStr">
        <is>
          <t>CAT-04</t>
        </is>
      </c>
      <c r="D38" s="17" t="inlineStr">
        <is>
          <t>Pantry, Baking &amp; Dry Goods</t>
        </is>
      </c>
      <c r="E38" s="11" t="n">
        <v>1.85</v>
      </c>
      <c r="F38" s="17" t="inlineStr">
        <is>
          <t>Transparent Light-Green Pandan Gelatin</t>
        </is>
      </c>
      <c r="G38" s="17" t="inlineStr">
        <is>
          <t>1 sachet (25g)</t>
        </is>
      </c>
    </row>
    <row r="39">
      <c r="A39" s="4" t="n">
        <v>38</v>
      </c>
      <c r="B39" s="18" t="inlineStr">
        <is>
          <t>Jasmine Rice / Day-Old Rice</t>
        </is>
      </c>
      <c r="C39" s="4" t="inlineStr">
        <is>
          <t>CAT-04</t>
        </is>
      </c>
      <c r="D39" s="18" t="inlineStr">
        <is>
          <t>Pantry, Baking &amp; Dry Goods</t>
        </is>
      </c>
      <c r="E39" s="7" t="n">
        <v>2.5</v>
      </c>
      <c r="F39" s="18" t="inlineStr">
        <is>
          <t>Golden Fried Rice, Classic Filipino Tapsilog</t>
        </is>
      </c>
      <c r="G39" s="18" t="inlineStr">
        <is>
          <t>5 lbs</t>
        </is>
      </c>
    </row>
    <row r="40">
      <c r="A40" s="8" t="n">
        <v>39</v>
      </c>
      <c r="B40" s="17" t="inlineStr">
        <is>
          <t>Medium-Firm Tofu</t>
        </is>
      </c>
      <c r="C40" s="8" t="inlineStr">
        <is>
          <t>CAT-04</t>
        </is>
      </c>
      <c r="D40" s="17" t="inlineStr">
        <is>
          <t>Pantry, Baking &amp; Dry Goods</t>
        </is>
      </c>
      <c r="E40" s="11" t="n">
        <v>2.5</v>
      </c>
      <c r="F40" s="17" t="inlineStr">
        <is>
          <t>Authentic Sichuan Mapo Tofu</t>
        </is>
      </c>
      <c r="G40" s="17" t="inlineStr">
        <is>
          <t>14 oz</t>
        </is>
      </c>
    </row>
    <row r="41">
      <c r="A41" s="4" t="n">
        <v>40</v>
      </c>
      <c r="B41" s="18" t="inlineStr">
        <is>
          <t>Oreo Cookies</t>
        </is>
      </c>
      <c r="C41" s="4" t="inlineStr">
        <is>
          <t>CAT-04</t>
        </is>
      </c>
      <c r="D41" s="18" t="inlineStr">
        <is>
          <t>Pantry, Baking &amp; Dry Goods</t>
        </is>
      </c>
      <c r="E41" s="7" t="n">
        <v>4</v>
      </c>
      <c r="F41" s="18" t="inlineStr">
        <is>
          <t>Cookies 'N Cream Ice Cream, Cookies 'N Cream Shake</t>
        </is>
      </c>
      <c r="G41" s="18" t="inlineStr">
        <is>
          <t>1 family pack</t>
        </is>
      </c>
    </row>
    <row r="42">
      <c r="A42" s="8" t="n">
        <v>41</v>
      </c>
      <c r="B42" s="17" t="inlineStr">
        <is>
          <t>Pre-Made Puff Pastry Sheets</t>
        </is>
      </c>
      <c r="C42" s="8" t="inlineStr">
        <is>
          <t>CAT-04</t>
        </is>
      </c>
      <c r="D42" s="17" t="inlineStr">
        <is>
          <t>Pantry, Baking &amp; Dry Goods</t>
        </is>
      </c>
      <c r="E42" s="11" t="n">
        <v>4.5</v>
      </c>
      <c r="F42" s="17" t="inlineStr">
        <is>
          <t>Macao-Style Egg Tarts</t>
        </is>
      </c>
      <c r="G42" s="17" t="inlineStr">
        <is>
          <t>1 box</t>
        </is>
      </c>
    </row>
    <row r="43">
      <c r="A43" s="4" t="n">
        <v>42</v>
      </c>
      <c r="B43" s="18" t="inlineStr">
        <is>
          <t>Ramen / Wheat Noodles</t>
        </is>
      </c>
      <c r="C43" s="4" t="inlineStr">
        <is>
          <t>CAT-04</t>
        </is>
      </c>
      <c r="D43" s="18" t="inlineStr">
        <is>
          <t>Pantry, Baking &amp; Dry Goods</t>
        </is>
      </c>
      <c r="E43" s="7" t="n">
        <v>2.5</v>
      </c>
      <c r="F43" s="18" t="inlineStr">
        <is>
          <t>Savory Beef Bulgogi Stir-Fry Noodles</t>
        </is>
      </c>
      <c r="G43" s="18" t="inlineStr">
        <is>
          <t>8 oz</t>
        </is>
      </c>
    </row>
    <row r="44">
      <c r="A44" s="8" t="n">
        <v>43</v>
      </c>
      <c r="B44" s="17" t="inlineStr">
        <is>
          <t>Dark Chocolate Chunks</t>
        </is>
      </c>
      <c r="C44" s="8" t="inlineStr">
        <is>
          <t>CAT-04</t>
        </is>
      </c>
      <c r="D44" s="17" t="inlineStr">
        <is>
          <t>Pantry, Baking &amp; Dry Goods</t>
        </is>
      </c>
      <c r="E44" s="11" t="n">
        <v>3.5</v>
      </c>
      <c r="F44" s="17" t="inlineStr">
        <is>
          <t>DIY No-Churn Rocky Road Ice Cream</t>
        </is>
      </c>
      <c r="G44" s="17" t="inlineStr">
        <is>
          <t>1 bag (8 oz)</t>
        </is>
      </c>
    </row>
    <row r="45">
      <c r="A45" s="4" t="n">
        <v>44</v>
      </c>
      <c r="B45" s="18" t="inlineStr">
        <is>
          <t>Mini Marshmallows</t>
        </is>
      </c>
      <c r="C45" s="4" t="inlineStr">
        <is>
          <t>CAT-04</t>
        </is>
      </c>
      <c r="D45" s="18" t="inlineStr">
        <is>
          <t>Pantry, Baking &amp; Dry Goods</t>
        </is>
      </c>
      <c r="E45" s="7" t="n">
        <v>2</v>
      </c>
      <c r="F45" s="18" t="inlineStr">
        <is>
          <t>DIY No-Churn Rocky Road Ice Cream</t>
        </is>
      </c>
      <c r="G45" s="18" t="inlineStr">
        <is>
          <t>1 bag</t>
        </is>
      </c>
    </row>
    <row r="46">
      <c r="A46" s="8" t="n">
        <v>45</v>
      </c>
      <c r="B46" s="17" t="inlineStr">
        <is>
          <t>Vanilla Extract</t>
        </is>
      </c>
      <c r="C46" s="8" t="inlineStr">
        <is>
          <t>CAT-04</t>
        </is>
      </c>
      <c r="D46" s="17" t="inlineStr">
        <is>
          <t>Pantry, Baking &amp; Dry Goods</t>
        </is>
      </c>
      <c r="E46" s="11" t="n">
        <v>4.5</v>
      </c>
      <c r="F46" s="17" t="inlineStr">
        <is>
          <t>Sans Rival, Leche Flan, Ice Creams, Egg Tarts</t>
        </is>
      </c>
      <c r="G46" s="17" t="inlineStr">
        <is>
          <t>1 bottle (4 oz)</t>
        </is>
      </c>
    </row>
    <row r="47">
      <c r="A47" s="4" t="n">
        <v>46</v>
      </c>
      <c r="B47" s="18" t="inlineStr">
        <is>
          <t>Ube Extract &amp; Pandan Extract</t>
        </is>
      </c>
      <c r="C47" s="4" t="inlineStr">
        <is>
          <t>CAT-04</t>
        </is>
      </c>
      <c r="D47" s="18" t="inlineStr">
        <is>
          <t>Pantry, Baking &amp; Dry Goods</t>
        </is>
      </c>
      <c r="E47" s="7" t="n">
        <v>4</v>
      </c>
      <c r="F47" s="18" t="inlineStr">
        <is>
          <t>Ube Crème Cake, Pandan Gelatin, Pichi-Pichi</t>
        </is>
      </c>
      <c r="G47" s="18" t="inlineStr">
        <is>
          <t>2 bottles</t>
        </is>
      </c>
    </row>
    <row r="48">
      <c r="A48" s="8" t="n">
        <v>47</v>
      </c>
      <c r="B48" s="17" t="inlineStr">
        <is>
          <t>Soy Sauce</t>
        </is>
      </c>
      <c r="C48" s="8" t="inlineStr">
        <is>
          <t>CAT-05</t>
        </is>
      </c>
      <c r="D48" s="17" t="inlineStr">
        <is>
          <t>Asian Specialties, Sauces &amp; Oils</t>
        </is>
      </c>
      <c r="E48" s="11" t="n">
        <v>3</v>
      </c>
      <c r="F48" s="17" t="inlineStr">
        <is>
          <t>Beef Bulgogi, Tapsilog, Mapo Tofu</t>
        </is>
      </c>
      <c r="G48" s="17" t="inlineStr">
        <is>
          <t>1 bottle (16 oz)</t>
        </is>
      </c>
    </row>
    <row r="49">
      <c r="A49" s="4" t="n">
        <v>48</v>
      </c>
      <c r="B49" s="18" t="inlineStr">
        <is>
          <t>Sesame Oil</t>
        </is>
      </c>
      <c r="C49" s="4" t="inlineStr">
        <is>
          <t>CAT-05</t>
        </is>
      </c>
      <c r="D49" s="18" t="inlineStr">
        <is>
          <t>Asian Specialties, Sauces &amp; Oils</t>
        </is>
      </c>
      <c r="E49" s="7" t="n">
        <v>3.5</v>
      </c>
      <c r="F49" s="18" t="inlineStr">
        <is>
          <t>Savory Beef Bulgogi Stir-Fry Noodles</t>
        </is>
      </c>
      <c r="G49" s="18" t="inlineStr">
        <is>
          <t>1 bottle (5 oz)</t>
        </is>
      </c>
    </row>
    <row r="50">
      <c r="A50" s="8" t="n">
        <v>49</v>
      </c>
      <c r="B50" s="17" t="inlineStr">
        <is>
          <t>Mirin</t>
        </is>
      </c>
      <c r="C50" s="8" t="inlineStr">
        <is>
          <t>CAT-05</t>
        </is>
      </c>
      <c r="D50" s="17" t="inlineStr">
        <is>
          <t>Asian Specialties, Sauces &amp; Oils</t>
        </is>
      </c>
      <c r="E50" s="11" t="n">
        <v>3.5</v>
      </c>
      <c r="F50" s="17" t="inlineStr">
        <is>
          <t>Savory Beef Bulgogi Stir-Fry Noodles</t>
        </is>
      </c>
      <c r="G50" s="17" t="inlineStr">
        <is>
          <t>1 bottle (10 oz)</t>
        </is>
      </c>
    </row>
    <row r="51">
      <c r="A51" s="4" t="n">
        <v>50</v>
      </c>
      <c r="B51" s="18" t="inlineStr">
        <is>
          <t>Doubanjiang (Chili Bean Paste)</t>
        </is>
      </c>
      <c r="C51" s="4" t="inlineStr">
        <is>
          <t>CAT-05</t>
        </is>
      </c>
      <c r="D51" s="18" t="inlineStr">
        <is>
          <t>Asian Specialties, Sauces &amp; Oils</t>
        </is>
      </c>
      <c r="E51" s="7" t="n">
        <v>4</v>
      </c>
      <c r="F51" s="18" t="inlineStr">
        <is>
          <t>Authentic Sichuan Mapo Tofu</t>
        </is>
      </c>
      <c r="G51" s="18" t="inlineStr">
        <is>
          <t>1 jar</t>
        </is>
      </c>
    </row>
    <row r="52">
      <c r="A52" s="8" t="n">
        <v>51</v>
      </c>
      <c r="B52" s="17" t="inlineStr">
        <is>
          <t>Douchi (Fermented Black Beans)</t>
        </is>
      </c>
      <c r="C52" s="8" t="inlineStr">
        <is>
          <t>CAT-05</t>
        </is>
      </c>
      <c r="D52" s="17" t="inlineStr">
        <is>
          <t>Asian Specialties, Sauces &amp; Oils</t>
        </is>
      </c>
      <c r="E52" s="11" t="n">
        <v>2.5</v>
      </c>
      <c r="F52" s="17" t="inlineStr">
        <is>
          <t>Authentic Sichuan Mapo Tofu</t>
        </is>
      </c>
      <c r="G52" s="17" t="inlineStr">
        <is>
          <t>1 pack</t>
        </is>
      </c>
    </row>
    <row r="53">
      <c r="A53" s="4" t="n">
        <v>52</v>
      </c>
      <c r="B53" s="18" t="inlineStr">
        <is>
          <t>Unrefined Coconut Oil</t>
        </is>
      </c>
      <c r="C53" s="4" t="inlineStr">
        <is>
          <t>CAT-05</t>
        </is>
      </c>
      <c r="D53" s="18" t="inlineStr">
        <is>
          <t>Asian Specialties, Sauces &amp; Oils</t>
        </is>
      </c>
      <c r="E53" s="7" t="n">
        <v>4.5</v>
      </c>
      <c r="F53" s="18" t="inlineStr">
        <is>
          <t>Cocker Spaniel Duck &amp; Sweet Potato Dinner</t>
        </is>
      </c>
      <c r="G53" s="18" t="inlineStr">
        <is>
          <t>1 jar</t>
        </is>
      </c>
    </row>
    <row r="54">
      <c r="A54" s="8" t="n">
        <v>53</v>
      </c>
      <c r="B54" s="17" t="inlineStr">
        <is>
          <t>Neutral Vegetable Oil / Lard</t>
        </is>
      </c>
      <c r="C54" s="8" t="inlineStr">
        <is>
          <t>CAT-05</t>
        </is>
      </c>
      <c r="D54" s="17" t="inlineStr">
        <is>
          <t>Asian Specialties, Sauces &amp; Oils</t>
        </is>
      </c>
      <c r="E54" s="11" t="n">
        <v>3.5</v>
      </c>
      <c r="F54" s="17" t="inlineStr">
        <is>
          <t>Golden Fried Rice, Mango Cake, Frying</t>
        </is>
      </c>
      <c r="G54" s="17" t="inlineStr">
        <is>
          <t>1 bottle (32 oz)</t>
        </is>
      </c>
    </row>
    <row r="55">
      <c r="A55" s="4" t="n">
        <v>54</v>
      </c>
      <c r="B55" s="18" t="inlineStr">
        <is>
          <t>Lye Water (Lihia)</t>
        </is>
      </c>
      <c r="C55" s="4" t="inlineStr">
        <is>
          <t>CAT-05</t>
        </is>
      </c>
      <c r="D55" s="18" t="inlineStr">
        <is>
          <t>Asian Specialties, Sauces &amp; Oils</t>
        </is>
      </c>
      <c r="E55" s="7" t="n">
        <v>2</v>
      </c>
      <c r="F55" s="18" t="inlineStr">
        <is>
          <t>Traditional Cassava Pichi-Pichi</t>
        </is>
      </c>
      <c r="G55" s="18" t="inlineStr">
        <is>
          <t>1 bottle</t>
        </is>
      </c>
    </row>
    <row r="56">
      <c r="A56" s="8" t="n">
        <v>55</v>
      </c>
      <c r="B56" s="17" t="inlineStr">
        <is>
          <t>Sichuan Pepper Powder &amp; White Pepper</t>
        </is>
      </c>
      <c r="C56" s="8" t="inlineStr">
        <is>
          <t>CAT-05</t>
        </is>
      </c>
      <c r="D56" s="17" t="inlineStr">
        <is>
          <t>Asian Specialties, Sauces &amp; Oils</t>
        </is>
      </c>
      <c r="E56" s="11" t="n">
        <v>3</v>
      </c>
      <c r="F56" s="17" t="inlineStr">
        <is>
          <t>Mapo Tofu, Golden Fried Rice</t>
        </is>
      </c>
      <c r="G56" s="17" t="inlineStr">
        <is>
          <t>1 container</t>
        </is>
      </c>
    </row>
    <row r="57">
      <c r="A57" s="4" t="n">
        <v>56</v>
      </c>
      <c r="B57" s="18" t="inlineStr">
        <is>
          <t>Chopped Cashews</t>
        </is>
      </c>
      <c r="C57" s="4" t="inlineStr">
        <is>
          <t>CAT-06</t>
        </is>
      </c>
      <c r="D57" s="18" t="inlineStr">
        <is>
          <t>Nuts, Seeds &amp; Specialty Add-ins</t>
        </is>
      </c>
      <c r="E57" s="7" t="n">
        <v>5</v>
      </c>
      <c r="F57" s="18" t="inlineStr">
        <is>
          <t>Sans Rival (Cashew Meringue Cake)</t>
        </is>
      </c>
      <c r="G57" s="18" t="inlineStr">
        <is>
          <t>1.5 cups</t>
        </is>
      </c>
    </row>
    <row r="58">
      <c r="A58" s="8" t="n">
        <v>57</v>
      </c>
      <c r="B58" s="17" t="inlineStr">
        <is>
          <t>Raw Almonds</t>
        </is>
      </c>
      <c r="C58" s="8" t="inlineStr">
        <is>
          <t>CAT-06</t>
        </is>
      </c>
      <c r="D58" s="17" t="inlineStr">
        <is>
          <t>Nuts, Seeds &amp; Specialty Add-ins</t>
        </is>
      </c>
      <c r="E58" s="11" t="n">
        <v>3</v>
      </c>
      <c r="F58" s="17" t="inlineStr">
        <is>
          <t>DIY No-Churn Rocky Road Ice Cream</t>
        </is>
      </c>
      <c r="G58" s="17" t="inlineStr">
        <is>
          <t>1 cup</t>
        </is>
      </c>
    </row>
    <row r="59">
      <c r="A59" s="4" t="n">
        <v>58</v>
      </c>
      <c r="B59" s="18" t="inlineStr">
        <is>
          <t>Chopped Peanuts</t>
        </is>
      </c>
      <c r="C59" s="4" t="inlineStr">
        <is>
          <t>CAT-06</t>
        </is>
      </c>
      <c r="D59" s="18" t="inlineStr">
        <is>
          <t>Nuts, Seeds &amp; Specialty Add-ins</t>
        </is>
      </c>
      <c r="E59" s="7" t="n">
        <v>1.5</v>
      </c>
      <c r="F59" s="18" t="inlineStr">
        <is>
          <t>Yema Custard Candies</t>
        </is>
      </c>
      <c r="G59" s="18" t="inlineStr">
        <is>
          <t>0.5 cup</t>
        </is>
      </c>
    </row>
    <row r="60">
      <c r="A60" s="8" t="n">
        <v>59</v>
      </c>
      <c r="B60" s="17" t="inlineStr">
        <is>
          <t>Fresh Grated Coconut</t>
        </is>
      </c>
      <c r="C60" s="8" t="inlineStr">
        <is>
          <t>CAT-06</t>
        </is>
      </c>
      <c r="D60" s="17" t="inlineStr">
        <is>
          <t>Nuts, Seeds &amp; Specialty Add-ins</t>
        </is>
      </c>
      <c r="E60" s="11" t="n">
        <v>2</v>
      </c>
      <c r="F60" s="17" t="inlineStr">
        <is>
          <t>Traditional Cassava Pichi-Pichi</t>
        </is>
      </c>
      <c r="G60" s="17" t="inlineStr">
        <is>
          <t>1 cup</t>
        </is>
      </c>
    </row>
    <row r="61">
      <c r="A61" s="4" t="n">
        <v>60</v>
      </c>
      <c r="B61" s="18" t="inlineStr">
        <is>
          <t>Grated Cassava</t>
        </is>
      </c>
      <c r="C61" s="4" t="inlineStr">
        <is>
          <t>CAT-06</t>
        </is>
      </c>
      <c r="D61" s="18" t="inlineStr">
        <is>
          <t>Nuts, Seeds &amp; Specialty Add-ins</t>
        </is>
      </c>
      <c r="E61" s="7" t="n">
        <v>3</v>
      </c>
      <c r="F61" s="18" t="inlineStr">
        <is>
          <t>Traditional Cassava Pichi-Pichi</t>
        </is>
      </c>
      <c r="G61" s="18" t="inlineStr">
        <is>
          <t>2 cups</t>
        </is>
      </c>
    </row>
    <row r="62">
      <c r="A62" s="8" t="n">
        <v>61</v>
      </c>
      <c r="B62" s="17" t="inlineStr">
        <is>
          <t>Fresh Blueberries</t>
        </is>
      </c>
      <c r="C62" s="8" t="inlineStr">
        <is>
          <t>CAT-06</t>
        </is>
      </c>
      <c r="D62" s="17" t="inlineStr">
        <is>
          <t>Nuts, Seeds &amp; Specialty Add-ins</t>
        </is>
      </c>
      <c r="E62" s="11" t="n">
        <v>2</v>
      </c>
      <c r="F62" s="17" t="inlineStr">
        <is>
          <t>Cocker Spaniel Duck &amp; Sweet Potato Dinner</t>
        </is>
      </c>
      <c r="G62" s="17" t="inlineStr">
        <is>
          <t>0.25 cup</t>
        </is>
      </c>
    </row>
    <row r="63">
      <c r="A63" s="4" t="n">
        <v>62</v>
      </c>
      <c r="B63" s="18" t="inlineStr">
        <is>
          <t>Colorful Cellophane Wrappers</t>
        </is>
      </c>
      <c r="C63" s="4" t="inlineStr">
        <is>
          <t>CAT-07</t>
        </is>
      </c>
      <c r="D63" s="18" t="inlineStr">
        <is>
          <t>Packaging &amp; Non-Food Supplies</t>
        </is>
      </c>
      <c r="E63" s="7" t="n">
        <v>3.5</v>
      </c>
      <c r="F63" s="18" t="inlineStr">
        <is>
          <t>Yema Custard Candies</t>
        </is>
      </c>
      <c r="G63" s="18" t="inlineStr">
        <is>
          <t>1 pack</t>
        </is>
      </c>
    </row>
    <row r="64">
      <c r="A64" s="8" t="n">
        <v>63</v>
      </c>
      <c r="B64" s="17" t="inlineStr">
        <is>
          <t>Papel de Japon (Japanese Paper)</t>
        </is>
      </c>
      <c r="C64" s="8" t="inlineStr">
        <is>
          <t>CAT-07</t>
        </is>
      </c>
      <c r="D64" s="17" t="inlineStr">
        <is>
          <t>Packaging &amp; Non-Food Supplies</t>
        </is>
      </c>
      <c r="E64" s="11" t="n">
        <v>3</v>
      </c>
      <c r="F64" s="17" t="inlineStr">
        <is>
          <t>Pastillas de Leche</t>
        </is>
      </c>
      <c r="G64" s="17" t="inlineStr">
        <is>
          <t>1 pack</t>
        </is>
      </c>
    </row>
    <row r="65">
      <c r="A65" s="4" t="n">
        <v>64</v>
      </c>
      <c r="B65" s="18" t="inlineStr">
        <is>
          <t>Aluminum Foil &amp; Plastic Wrap</t>
        </is>
      </c>
      <c r="C65" s="4" t="inlineStr">
        <is>
          <t>CAT-07</t>
        </is>
      </c>
      <c r="D65" s="18" t="inlineStr">
        <is>
          <t>Packaging &amp; Non-Food Supplies</t>
        </is>
      </c>
      <c r="E65" s="7" t="n">
        <v>5</v>
      </c>
      <c r="F65" s="18" t="inlineStr">
        <is>
          <t>Leche Flan, Pichi-Pichi Steaming</t>
        </is>
      </c>
      <c r="G65" s="18" t="inlineStr">
        <is>
          <t>1 box</t>
        </is>
      </c>
    </row>
    <row r="66">
      <c r="A66" s="12" t="inlineStr">
        <is>
          <t>TOTAL</t>
        </is>
      </c>
      <c r="B66" s="13" t="inlineStr">
        <is>
          <t>Grand Total Ingredient Cost</t>
        </is>
      </c>
      <c r="C66" s="19" t="n"/>
      <c r="D66" s="19" t="n"/>
      <c r="E66" s="15">
        <f>SUM(E2:E65)</f>
        <v/>
      </c>
      <c r="F66" s="19" t="n"/>
      <c r="G66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2026-10-07T20:33:47Z</dcterms:created>
  <dcterms:modified xmlns:dcterms="http://purl.org/dc/terms/" xmlns:xsi="http://www.w3.org/2001/XMLSchema-instance" xsi:type="dcterms:W3CDTF">2026-10-07T20:33:47Z</dcterms:modified>
</cp:coreProperties>
</file>