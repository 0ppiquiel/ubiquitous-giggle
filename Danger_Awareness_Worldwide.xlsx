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DANGER - PLOT TYPES" sheetId="2" state="visible" r:id="rId2"/>
    <sheet xmlns:r="http://schemas.openxmlformats.org/officeDocument/2006/relationships" name="DANGER - ACTORS" sheetId="3" state="visible" r:id="rId3"/>
    <sheet xmlns:r="http://schemas.openxmlformats.org/officeDocument/2006/relationships" name="DANGER - ROLES &amp; THEIR CRIMES" sheetId="4" state="visible" r:id="rId4"/>
    <sheet xmlns:r="http://schemas.openxmlformats.org/officeDocument/2006/relationships" name="DANGER - SETTINGS &amp; LOCATIONS" sheetId="5" state="visible" r:id="rId5"/>
    <sheet xmlns:r="http://schemas.openxmlformats.org/officeDocument/2006/relationships" name="DANGER - ERUPTIONS (HISTORICAL)" sheetId="6" state="visible" r:id="rId6"/>
    <sheet xmlns:r="http://schemas.openxmlformats.org/officeDocument/2006/relationships" name="DANGER - STATE LIST" sheetId="7" state="visible" r:id="rId7"/>
    <sheet xmlns:r="http://schemas.openxmlformats.org/officeDocument/2006/relationships" name="DANGER - MEETINGS" sheetId="8" state="visible" r:id="rId8"/>
    <sheet xmlns:r="http://schemas.openxmlformats.org/officeDocument/2006/relationships" name="DANGER - CONTACTS &amp; DATABASES" sheetId="9" state="visible" r:id="rId9"/>
  </sheets>
  <definedNames>
    <definedName name="_xlnm._FilterDatabase" localSheetId="1" hidden="1">'DANGER - PLOT TYPES'!$A$1:$H$24</definedName>
    <definedName name="_xlnm._FilterDatabase" localSheetId="2" hidden="1">'DANGER - ACTORS'!$A$1:$F$11</definedName>
    <definedName name="_xlnm._FilterDatabase" localSheetId="3" hidden="1">'DANGER - ROLES &amp; THEIR CRIMES'!$A$1:$E$21</definedName>
    <definedName name="_xlnm._FilterDatabase" localSheetId="4" hidden="1">'DANGER - SETTINGS &amp; LOCATIONS'!$A$1:$F$17</definedName>
    <definedName name="_xlnm._FilterDatabase" localSheetId="5" hidden="1">'DANGER - ERUPTIONS (HISTORICAL)'!$A$1:$H$27</definedName>
    <definedName name="_xlnm._FilterDatabase" localSheetId="6" hidden="1">'DANGER - STATE LIST'!$A$1:$D$26</definedName>
    <definedName name="_xlnm._FilterDatabase" localSheetId="7" hidden="1">'DANGER - MEETINGS'!$A$1:$D$13</definedName>
    <definedName name="_xlnm._FilterDatabase" localSheetId="8" hidden="1">'DANGER - CONTACTS &amp; DATABASES'!$A$1:$F$11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2"/>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Eruption locations — longitude/latitude plot (a map in coordinates)</a:t>
            </a:r>
          </a:p>
        </rich>
      </tx>
    </title>
    <plotArea>
      <scatterChart>
        <ser>
          <idx val="0"/>
          <order val="0"/>
          <tx>
            <v>Eruptions</v>
          </tx>
          <spPr>
            <a:ln xmlns:a="http://schemas.openxmlformats.org/drawingml/2006/main">
              <a:noFill/>
              <a:prstDash val="solid"/>
            </a:ln>
          </spPr>
          <marker>
            <symbol val="circle"/>
            <size val="7"/>
            <spPr>
              <a:ln xmlns:a="http://schemas.openxmlformats.org/drawingml/2006/main">
                <a:prstDash val="solid"/>
              </a:ln>
            </spPr>
          </marker>
          <xVal>
            <numRef>
              <f>'DANGER - ERUPTIONS (HISTORICAL)'!$J$1:$J$27</f>
            </numRef>
          </xVal>
          <yVal>
            <numRef>
              <f>'DANGER - ERUPTIONS (HISTORICAL)'!$K$1:$K$27</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Longitude</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Latitude</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9</col>
      <colOff>0</colOff>
      <row>27</row>
      <rowOff>0</rowOff>
    </from>
    <ext cx="936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6" customWidth="1" min="1" max="1"/>
    <col width="155" customWidth="1" min="2" max="2"/>
  </cols>
  <sheetData>
    <row r="1">
      <c r="A1" t="inlineStr">
        <is>
          <t>Danger Awareness Worldwide — Terror, Crime &amp; Mass-Casualty Patterns: Plots, Actors, Roles, Settings, Eruptions, States, Meetings, Contacts &amp; Databases</t>
        </is>
      </c>
    </row>
    <row r="2">
      <c r="A2" s="2" t="inlineStr">
        <is>
          <t>Purpose</t>
        </is>
      </c>
      <c r="B2" s="2" t="inlineStr">
        <is>
          <t>The dangers a citizen may be unaware of, worldwide, organized for recognition and response: what the plots are, who carries them out and in what roles, where they happen, what has actually erupted in the historical record, which states carry which dangers, how meetings are used as lures, and where to report and verify everything (official contacts and the incident databases). Behaviour-based indicators only - what people DO; appearance and identity are not indicators and are never used.</t>
        </is>
      </c>
    </row>
    <row r="3">
      <c r="A3" s="2" t="inlineStr">
        <is>
          <t>Sheets</t>
        </is>
      </c>
      <c r="B3" s="2" t="inlineStr">
        <is>
          <t>DANGER - PLOT TYPES (23) - DANGER - ACTORS (10) - DANGER - ROLES &amp; THEIR CRIMES (20 roles with the charges in law) - DANGER - SETTINGS &amp; LOCATIONS (16, with coordinates) - DANGER - ERUPTIONS (HISTORICAL) (26 documented events with coordinates and a map-plot) - DANGER - STATE LIST (25) - DANGER - MEETINGS (12) - DANGER - CONTACTS &amp; DATABASES (official reporting contacts, the GTD/RAND/CPOST databases, travel advisories, and where identifying information on fugitives is officially published).</t>
        </is>
      </c>
    </row>
    <row r="4">
      <c r="A4" s="2" t="inlineStr">
        <is>
          <t>Place in the system</t>
        </is>
      </c>
      <c r="B4" s="2" t="inlineStr">
        <is>
          <t>This file is the awareness companion to Worst_Outcomes_Complete_System.xlsx (the worst-outcomes master + costed companion). It was moved out of that file into its own file on Oct 19, 2026; the combined file points here. The citizen response column in every sheet ties back to the solutions in that system.</t>
        </is>
      </c>
    </row>
    <row r="5">
      <c r="A5" s="2" t="inlineStr">
        <is>
          <t>What is deliberately not in this file</t>
        </is>
      </c>
      <c r="B5" s="2" t="inlineStr">
        <is>
          <t>No personal addresses, private contacts, or social-media dossiers of involved people - including accomplices, relatives, and unconvicted suspects. Identifying information on fugitives is published, current and legally vetted, by the authorities themselves (Interpol Red Notices, national most-wanted lists); DANGER - CONTACTS &amp; DATABASES points there. Locations and coordinates given are of PLACES - settings and historical sites - which are the geography citizens actually use.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4"/>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72" customWidth="1" min="3" max="3"/>
    <col width="40" customWidth="1" min="4" max="4"/>
    <col width="52" customWidth="1" min="5" max="5"/>
    <col width="58" customWidth="1" min="6" max="6"/>
    <col width="72" customWidth="1" min="7" max="7"/>
    <col width="36" customWidth="1" min="8" max="8"/>
  </cols>
  <sheetData>
    <row r="1">
      <c r="A1" s="1" t="inlineStr">
        <is>
          <t>Plot / Danger Type</t>
        </is>
      </c>
      <c r="B1" s="1" t="inlineStr">
        <is>
          <t>Category</t>
        </is>
      </c>
      <c r="C1" s="1" t="inlineStr">
        <is>
          <t>Description (awareness level)</t>
        </is>
      </c>
      <c r="D1" s="1" t="inlineStr">
        <is>
          <t>Typical Settings</t>
        </is>
      </c>
      <c r="E1" s="1" t="inlineStr">
        <is>
          <t>Where They Go — Movement &amp; Target Patterns</t>
        </is>
      </c>
      <c r="F1" s="1" t="inlineStr">
        <is>
          <t>Warning Indicators (behaviour-based)</t>
        </is>
      </c>
      <c r="G1" s="1" t="inlineStr">
        <is>
          <t>Citizen Response (the solution at citizen level)</t>
        </is>
      </c>
      <c r="H1" s="1" t="inlineStr">
        <is>
          <t>Regions Most Associated</t>
        </is>
      </c>
    </row>
    <row r="2">
      <c r="A2" s="2" t="inlineStr">
        <is>
          <t>Suicide bombing (person-borne or vehicle-borne)</t>
        </is>
      </c>
      <c r="B2" s="2" t="inlineStr">
        <is>
          <t>Terrorism</t>
        </is>
      </c>
      <c r="C2" s="2" t="inlineStr">
        <is>
          <t>An attacker detonates explosives at a crowded point, often at entrances, checkpoints, or queues where people bunch. The bunching point, not the building, is the target geometry.</t>
        </is>
      </c>
      <c r="D2" s="2" t="inlineStr">
        <is>
          <t>Transit stations, markets, places of worship, checkpoints, queues, festivals</t>
        </is>
      </c>
      <c r="E2" s="2" t="inlineStr">
        <is>
          <t>Attackers go where crowds compress: gates, security lines, bus stops at peak hour</t>
        </is>
      </c>
      <c r="F2" s="2" t="inlineStr">
        <is>
          <t>Abandoned or unusually bulky clothing for the weather; a person visibly nervous and out of sync with crowd flow; unattended vehicles idling at crowd edges</t>
        </is>
      </c>
      <c r="G2" s="2" t="inlineStr">
        <is>
          <t>Distance is the defence: do not bunch at gates longer than needed; report unattended items and behaviour to staff/police; if an explosion occurs, move away - secondary devices targeting responders are a documented pattern</t>
        </is>
      </c>
      <c r="H2" s="2" t="inlineStr">
        <is>
          <t>Middle East, South Asia, Sahel and West Africa, historically Sri Lanka and Russia</t>
        </is>
      </c>
    </row>
    <row r="3">
      <c r="A3" s="2" t="inlineStr">
        <is>
          <t>Improvised explosive device (IED) left in place</t>
        </is>
      </c>
      <c r="B3" s="2" t="inlineStr">
        <is>
          <t>Terrorism / insurgency</t>
        </is>
      </c>
      <c r="C3" s="2" t="inlineStr">
        <is>
          <t>A device is left in a bag, vehicle, or roadside and detonated by timer or remote. Common in insurgencies against patrols and in terror campaigns against civilians.</t>
        </is>
      </c>
      <c r="D3" s="2" t="inlineStr">
        <is>
          <t>Roadsides, transit, markets, government districts, parade routes</t>
        </is>
      </c>
      <c r="E3" s="2" t="inlineStr">
        <is>
          <t>Placed where the target must pass: chokepoints, kerbs, bins, parked vehicles near venues</t>
        </is>
      </c>
      <c r="F3" s="2" t="inlineStr">
        <is>
          <t>Unattended bags/boxes in places bags are not left; wires or components visible; a vehicle parked oddly and hurriedly abandoned</t>
        </is>
      </c>
      <c r="G3" s="2" t="inlineStr">
        <is>
          <t>Never touch or move a suspect item; clear the area and tell police/staff - this is the single highest-value citizen action; note the location precisely</t>
        </is>
      </c>
      <c r="H3" s="2" t="inlineStr">
        <is>
          <t>Iraq/Afghanistan historically; insurgency zones worldwide</t>
        </is>
      </c>
    </row>
    <row r="4">
      <c r="A4" s="2" t="inlineStr">
        <is>
          <t>Vehicle ramming</t>
        </is>
      </c>
      <c r="B4" s="2" t="inlineStr">
        <is>
          <t>Terrorism / lone actor</t>
        </is>
      </c>
      <c r="C4" s="2" t="inlineStr">
        <is>
          <t>A rented or stolen vehicle is driven into a pedestrian crowd. Requires no weapon procurement, which is why it recurs.</t>
        </is>
      </c>
      <c r="D4" s="2" t="inlineStr">
        <is>
          <t>Promenades, pedestrian streets, Christmas markets, festivals, protest routes, bridge sidewalks</t>
        </is>
      </c>
      <c r="E4" s="2" t="inlineStr">
        <is>
          <t>Long straight pedestrian stretches with vehicle access at one end</t>
        </is>
      </c>
      <c r="F4" s="2" t="inlineStr">
        <is>
          <t>A vehicle mounting a kerb or accelerating toward pedestrians is the event itself - the only warning is engine/approach behaviour at access points</t>
        </is>
      </c>
      <c r="G4" s="2" t="inlineStr">
        <is>
          <t>Walk on the protected side of bollards where they exist; keep an ear out (no headphones at full volume in crowd streets); if it happens: perpendicular movement - get off the vehicle's line, behind solid cover</t>
        </is>
      </c>
      <c r="H4" s="2" t="inlineStr">
        <is>
          <t>Europe (Nice, Berlin, Barcelona, London, Stockholm, Toronto), Israel, China, USA</t>
        </is>
      </c>
    </row>
    <row r="5">
      <c r="A5" s="2" t="inlineStr">
        <is>
          <t>Armed assault / active shooter (firearms)</t>
        </is>
      </c>
      <c r="B5" s="2" t="inlineStr">
        <is>
          <t>Terrorism / mass violence</t>
        </is>
      </c>
      <c r="C5" s="2" t="inlineStr">
        <is>
          <t>One or more shooters attack a soft target at close range, sometimes with hostages following (Mumbai, Paris, Nairobi patterns).</t>
        </is>
      </c>
      <c r="D5" s="2" t="inlineStr">
        <is>
          <t>Hotels, malls, concert venues, schools, offices, places of worship</t>
        </is>
      </c>
      <c r="E5" s="2" t="inlineStr">
        <is>
          <t>Attackers enter through public entrances and move toward density and sound</t>
        </is>
      </c>
      <c r="F5" s="2" t="inlineStr">
        <is>
          <t>Gunfire is usually the first indicator; before that: someone casing entrances/exits repeatedly, or a vehicle left running at a service entrance</t>
        </is>
      </c>
      <c r="G5" s="2" t="inlineStr">
        <is>
          <t>RUN away from the sound if a route exists; HIDE (lock, barricade, silence phone) if not; TELL police when safe - UK Counter Terrorism Policing's official sequence, and the US Run-Hide-Fight equivalent. Do not run toward responders with anything in your hands</t>
        </is>
      </c>
      <c r="H5" s="2" t="inlineStr">
        <is>
          <t>Worldwide; highest frequency USA (all motives), major terror cases in France, Kenya, India, Russia</t>
        </is>
      </c>
    </row>
    <row r="6">
      <c r="A6" s="2" t="inlineStr">
        <is>
          <t>Edged-weapon attack</t>
        </is>
      </c>
      <c r="B6" s="2" t="inlineStr">
        <is>
          <t>Terrorism / lone actor</t>
        </is>
      </c>
      <c r="C6" s="2" t="inlineStr">
        <is>
          <t>Knife or machete attacks in public space, often at transit or tourist sites; lower lethality per minute than firearms but near-zero procurement signature.</t>
        </is>
      </c>
      <c r="D6" s="2" t="inlineStr">
        <is>
          <t>Transit hubs, tourist districts, bridges, shopping streets</t>
        </is>
      </c>
      <c r="E6" s="2" t="inlineStr">
        <is>
          <t>Attackers go to predictable crowd density: station concourses, landmark queues</t>
        </is>
      </c>
      <c r="F6" s="2" t="inlineStr">
        <is>
          <t>A person producing a weapon is the indicator; precursor casing is rarely visible</t>
        </is>
      </c>
      <c r="G6" s="2" t="inlineStr">
        <is>
          <t>Distance and barriers: put mass (vehicles, furniture, luggage) between you and the attacker; RUN first; improvised shields beat engagement for untrained citizens</t>
        </is>
      </c>
      <c r="H6" s="2" t="inlineStr">
        <is>
          <t>UK, Germany, Israel, China, Australia, Canada</t>
        </is>
      </c>
    </row>
    <row r="7">
      <c r="A7" s="2" t="inlineStr">
        <is>
          <t>Hostage-taking and barricade siege</t>
        </is>
      </c>
      <c r="B7" s="2" t="inlineStr">
        <is>
          <t>Terrorism / criminal</t>
        </is>
      </c>
      <c r="C7" s="2" t="inlineStr">
        <is>
          <t>Attackers seize a location and people inside it (cafe, hotel, school, theatre). The siege phase is a negotiation and media event; most deaths occur at entry or during assault.</t>
        </is>
      </c>
      <c r="D7" s="2" t="inlineStr">
        <is>
          <t>Cafes, hotels, theatres, schools, embassies</t>
        </is>
      </c>
      <c r="E7" s="2" t="inlineStr">
        <is>
          <t>Symbolic or high-occupancy venues with limited exits</t>
        </is>
      </c>
      <c r="F7" s="2" t="inlineStr">
        <is>
          <t>The attack's opening is the indicator; from inside, demands and phone contact with police follow</t>
        </is>
      </c>
      <c r="G7" s="2" t="inlineStr">
        <is>
          <t>If inside: comply outwardly, stay low and away from doors/windows, do not film visibly, escape only on a clear route; during a police assault, get flat, hands visible and empty, and expect to be treated as a suspect until cleared</t>
        </is>
      </c>
      <c r="H7" s="2" t="inlineStr">
        <is>
          <t>France, Russia (Beslan, Moscow theatre), Australia (Sydney), Philippines, worldwide</t>
        </is>
      </c>
    </row>
    <row r="8">
      <c r="A8" s="2" t="inlineStr">
        <is>
          <t>Arson attack (public venue)</t>
        </is>
      </c>
      <c r="B8" s="2" t="inlineStr">
        <is>
          <t>Terrorism / hate crime / criminal</t>
        </is>
      </c>
      <c r="C8" s="2" t="inlineStr">
        <is>
          <t>Fire is set in an occupied venue, sometimes with exits blocked. Fire and smoke kill faster than flames.</t>
        </is>
      </c>
      <c r="D8" s="2" t="inlineStr">
        <is>
          <t>Nightclubs, places of worship, hostels, factories, schools</t>
        </is>
      </c>
      <c r="E8" s="2" t="inlineStr">
        <is>
          <t>Attackers target venues with single exits and flammable interiors</t>
        </is>
      </c>
      <c r="F8" s="2" t="inlineStr">
        <is>
          <t>Smell of accelerant, a person leaving hurriedly against crowd flow, fire alarm with visible smoke</t>
        </is>
      </c>
      <c r="G8" s="2" t="inlineStr">
        <is>
          <t>Exit is the entire response: leave by ANY route including windows at low floors; stay low under smoke; never re-enter; pull the alarm and shout - most venue fire deaths involve delayed evacuation, not the fire itself</t>
        </is>
      </c>
      <c r="H8" s="2" t="inlineStr">
        <is>
          <t>Worldwide (nightclub fires: Brazil, North Macedonia, Russia; arson attacks on worship sites globally)</t>
        </is>
      </c>
    </row>
    <row r="9">
      <c r="A9" s="2" t="inlineStr">
        <is>
          <t>Chemical / biological / radiological (CBR) release</t>
        </is>
      </c>
      <c r="B9" s="2" t="inlineStr">
        <is>
          <t>Terrorism / state</t>
        </is>
      </c>
      <c r="C9" s="2" t="inlineStr">
        <is>
          <t>Toxic agents released in enclosed or transit spaces (Tokyo sarin 1995 is the template). Rare, technically demanding, and usually low-yield in practice.</t>
        </is>
      </c>
      <c r="D9" s="2" t="inlineStr">
        <is>
          <t>Subways, enclosed transit, government districts, arenas</t>
        </is>
      </c>
      <c r="E9" s="2" t="inlineStr">
        <is>
          <t>Enclosed air systems: underground stations at peak hour</t>
        </is>
      </c>
      <c r="F9" s="2" t="inlineStr">
        <is>
          <t>Multiple people collapsing or with identical sudden symptoms in one area; an abandoned spray/package device; unusual chemical smell reported by many at once</t>
        </is>
      </c>
      <c r="G9" s="2" t="inlineStr">
        <is>
          <t>Move UPWIND and out of the enclosed space immediately; do not use lifts; cover nose/mouth with cloth; once out, remove outer clothing before entering clean buildings if authorities direct it; call emergency services and state the pattern</t>
        </is>
      </c>
      <c r="H9" s="2" t="inlineStr">
        <is>
          <t>Japan (1995), Syria (state use in war), UK (Salisbury 2018, targeted), Iraq</t>
        </is>
      </c>
    </row>
    <row r="10">
      <c r="A10" s="2" t="inlineStr">
        <is>
          <t>Drone attack (small UAS)</t>
        </is>
      </c>
      <c r="B10" s="2" t="inlineStr">
        <is>
          <t>State / proxy / insurgent</t>
        </is>
      </c>
      <c r="C10" s="2" t="inlineStr">
        <is>
          <t>Small drones drop munitions or strike as one-way attackers, mainly in war zones and increasingly against infrastructure and gatherings there.</t>
        </is>
      </c>
      <c r="D10" s="2" t="inlineStr">
        <is>
          <t>Frontline cities, energy infrastructure, military-adjacent areas, mass gatherings in conflict zones</t>
        </is>
      </c>
      <c r="E10" s="2" t="inlineStr">
        <is>
          <t>Loitering over infrastructure or crowds in conflict regions</t>
        </is>
      </c>
      <c r="F10" s="2" t="inlineStr">
        <is>
          <t>A small drone loitering low over a crowd or facility in a conflict zone</t>
        </is>
      </c>
      <c r="G10" s="2" t="inlineStr">
        <is>
          <t>In conflict zones: treat loitering unknown drones as a reason to take cover indoors; elsewhere, report to police - do not approach a downed drone</t>
        </is>
      </c>
      <c r="H10" s="2" t="inlineStr">
        <is>
          <t>Ukraine, Middle East, Myanmar, Sahel</t>
        </is>
      </c>
    </row>
    <row r="11">
      <c r="A11" s="2" t="inlineStr">
        <is>
          <t>Infrastructure sabotage (power, water, rail)</t>
        </is>
      </c>
      <c r="B11" s="2" t="inlineStr">
        <is>
          <t>State proxy / extremist / criminal</t>
        </is>
      </c>
      <c r="C11" s="2" t="inlineStr">
        <is>
          <t>Substations shot or sabotaged, rail signalling attacked, water systems intruded on - aimed at disruption and fear rather than immediate casualties.</t>
        </is>
      </c>
      <c r="D11" s="2" t="inlineStr">
        <is>
          <t>Substations, rail corridors, water plants, telecom nodes - usually unmanned and rural/suburban</t>
        </is>
      </c>
      <c r="E11" s="2" t="inlineStr">
        <is>
          <t>Attackers go to the unmanned nodes, typically at night</t>
        </is>
      </c>
      <c r="F11" s="2" t="inlineStr">
        <is>
          <t>Prolonged unexplained outages; intruders at utility fencing; official alerts</t>
        </is>
      </c>
      <c r="G11" s="2" t="inlineStr">
        <is>
          <t>Citizen role is endurance and reporting: this is what the household grid/water builds in this file are FOR; report fence-line intruders to police/utility, never confront</t>
        </is>
      </c>
      <c r="H11" s="2" t="inlineStr">
        <is>
          <t>USA (substation shootings), Europe (rail sabotage), Ukraine (war)</t>
        </is>
      </c>
    </row>
    <row r="12">
      <c r="A12" s="2" t="inlineStr">
        <is>
          <t>Parcel / letter devices</t>
        </is>
      </c>
      <c r="B12" s="2" t="inlineStr">
        <is>
          <t>Terrorism / targeted</t>
        </is>
      </c>
      <c r="C12" s="2" t="inlineStr">
        <is>
          <t>Explosive or harmful packages sent to specific people or organisations.</t>
        </is>
      </c>
      <c r="D12" s="2" t="inlineStr">
        <is>
          <t>Mailrooms, offices of public figures, universities, media, embassies</t>
        </is>
      </c>
      <c r="E12" s="2" t="inlineStr">
        <is>
          <t>Delivered to named targets through normal mail/courier</t>
        </is>
      </c>
      <c r="F12" s="2" t="inlineStr">
        <is>
          <t>Unexpected parcel with excessive postage/tape, misspellings, no return address, leaking or odorous - the classic mailroom indicator list</t>
        </is>
      </c>
      <c r="G12" s="2" t="inlineStr">
        <is>
          <t>Do not open, shake, or carry it to others; isolate the room, wash hands if handled, call police. Organisations: the mailroom is the checkpoint</t>
        </is>
      </c>
      <c r="H12" s="2" t="inlineStr">
        <is>
          <t>USA (Unabomber era; 2018 mail bombs), Spain, worldwide sporadically</t>
        </is>
      </c>
    </row>
    <row r="13">
      <c r="A13" s="2" t="inlineStr">
        <is>
          <t>Poisoning of food or water (targeted or mass)</t>
        </is>
      </c>
      <c r="B13" s="2" t="inlineStr">
        <is>
          <t>Criminal / terror / state</t>
        </is>
      </c>
      <c r="C13" s="2" t="inlineStr">
        <is>
          <t>Contamination at production, distribution, or point of sale - from product tampering to targeted poisonings of individuals.</t>
        </is>
      </c>
      <c r="D13" s="2" t="inlineStr">
        <is>
          <t>Supermarkets, restaurants, water systems, events with communal food</t>
        </is>
      </c>
      <c r="E13" s="2" t="inlineStr">
        <is>
          <t>Point-of-sale shelves and communal serving points</t>
        </is>
      </c>
      <c r="F13" s="2" t="inlineStr">
        <is>
          <t>Tampered packaging; sudden clusters of identical food-poisoning symptoms traced to one product or venue</t>
        </is>
      </c>
      <c r="G13" s="2" t="inlineStr">
        <is>
          <t>Stop consuming, keep the packaging, seek medical care and report - retained product/packaging is the evidence that protects everyone else</t>
        </is>
      </c>
      <c r="H13" s="2" t="inlineStr">
        <is>
          <t>USA (1982 Tylenol tampering - criminal), Japan, targeted state poisonings (UK, Malaysia airport VX case)</t>
        </is>
      </c>
    </row>
    <row r="14">
      <c r="A14" s="2" t="inlineStr">
        <is>
          <t>Crowd crush / stampede (not an attack - the most common mass-casualty 'eruption' of all)</t>
        </is>
      </c>
      <c r="B14" s="2" t="inlineStr">
        <is>
          <t>Mass-gathering disaster</t>
        </is>
      </c>
      <c r="C14" s="2" t="inlineStr">
        <is>
          <t>Density itself kills: above roughly 6 people per square metre, compressive asphyxia occurs standing up, silently, usually at bottlenecks, tunnels, and counter-flows. Kills far more people worldwide than terrorism.</t>
        </is>
      </c>
      <c r="D14" s="2" t="inlineStr">
        <is>
          <t>Festivals, religious pilgrimages (Hajj), concerts, stadium entries/exits, New Year gatherings, sales events</t>
        </is>
      </c>
      <c r="E14" s="2" t="inlineStr">
        <is>
          <t>Crowds go where the event is; danger concentrates at merges, slopes, dead ends, and entry gates</t>
        </is>
      </c>
      <c r="F14" s="2" t="inlineStr">
        <is>
          <t>Density you cannot move your arms in; being lifted off your feet; a wave motion through the crowd; people climbing to escape density</t>
        </is>
      </c>
      <c r="G14" s="2" t="inlineStr">
        <is>
          <t>Avoid the dense core early - edges are survival; if caught: keep arms up in a boxer's guard to protect breathing space, move diagonally toward lower density, never go against the flow or bend for dropped items; if you fall, fetal position protecting head and chest</t>
        </is>
      </c>
      <c r="H14" s="2" t="inlineStr">
        <is>
          <t>South Korea (Itaewon 2022), India (recurrent pilgrimage crushes), Saudi Arabia (Hajj), Germany (Love Parade 2010), USA (Astroworld 2021)</t>
        </is>
      </c>
    </row>
    <row r="15">
      <c r="A15" s="2" t="inlineStr">
        <is>
          <t>Mob violence / pogrom / riot targeting a group</t>
        </is>
      </c>
      <c r="B15" s="2" t="inlineStr">
        <is>
          <t>Communal violence</t>
        </is>
      </c>
      <c r="C15" s="2" t="inlineStr">
        <is>
          <t>Crowds attack an identified group, its homes, businesses, or worship sites - usually rumour-triggered and locally organized, erupting within hours.</t>
        </is>
      </c>
      <c r="D15" s="2" t="inlineStr">
        <is>
          <t>Mixed neighbourhoods, worship sites, markets of the targeted group</t>
        </is>
      </c>
      <c r="E15" s="2" t="inlineStr">
        <is>
          <t>Mobs go to known addresses and symbols; lists of targets sometimes circulate beforehand</t>
        </is>
      </c>
      <c r="F15" s="2" t="inlineStr">
        <is>
          <t>Viral rumour (often a forwarded video/message), unusual gatherings of young men, police withdrawal, targeted businesses closing early</t>
        </is>
      </c>
      <c r="G15" s="2" t="inlineStr">
        <is>
          <t>Leave the area early on rumour-stage signals - this danger is survivable almost purely by timing; shelter with trusted contacts outside the zone; document only from safety</t>
        </is>
      </c>
      <c r="H15" s="2" t="inlineStr">
        <is>
          <t>South Asia (recurrent), Myanmar, Nigeria, Indonesia, historically Europe; sporadic hate-mob events worldwide</t>
        </is>
      </c>
    </row>
    <row r="16">
      <c r="A16" s="2" t="inlineStr">
        <is>
          <t>Kidnapping - ransom and express</t>
        </is>
      </c>
      <c r="B16" s="2" t="inlineStr">
        <is>
          <t>Criminal / insurgent</t>
        </is>
      </c>
      <c r="C16" s="2" t="inlineStr">
        <is>
          <t>Ransom kidnapping holds victims days to months; express kidnapping forces ATM withdrawals over hours, usually from a taxi or street pickup.</t>
        </is>
      </c>
      <c r="D16" s="2" t="inlineStr">
        <is>
          <t>Tourist zones, expat districts, unlicensed taxis, nightlife areas, highways (false checkpoints)</t>
        </is>
      </c>
      <c r="E16" s="2" t="inlineStr">
        <is>
          <t>Victims are selected at airports, hotels, bars, and taxi queues - places wealth is displayed and routines are set</t>
        </is>
      </c>
      <c r="F16" s="2" t="inlineStr">
        <is>
          <t>An unlicensed taxi insisting; a 'police' checkpoint of unmarked vehicles at night on an isolated road; new acquaintances steering you to a second location</t>
        </is>
      </c>
      <c r="G16" s="2" t="inlineStr">
        <is>
          <t>Licensed transport only, arranged by hotel/app; vary routines in high-risk regions; surrender valuables in express events - survival first; register travel with your embassy in high-risk states</t>
        </is>
      </c>
      <c r="H16" s="2" t="inlineStr">
        <is>
          <t>Latin America (express), Nigeria, Philippines (Abu Sayyaf), Sahel, Haiti, South Africa</t>
        </is>
      </c>
    </row>
    <row r="17">
      <c r="A17" s="2" t="inlineStr">
        <is>
          <t>Carjacking</t>
        </is>
      </c>
      <c r="B17" s="2" t="inlineStr">
        <is>
          <t>Criminal</t>
        </is>
      </c>
      <c r="C17" s="2" t="inlineStr">
        <is>
          <t>Vehicle taken by threat at stops, driveways, or parking areas; sometimes the opener to kidnapping.</t>
        </is>
      </c>
      <c r="D17" s="2" t="inlineStr">
        <is>
          <t>Intersections, parking garages, driveways, fuel stations at night</t>
        </is>
      </c>
      <c r="E17" s="2" t="inlineStr">
        <is>
          <t>Stopped vehicles with a lone driver in low-traffic areas</t>
        </is>
      </c>
      <c r="F17" s="2" t="inlineStr">
        <is>
          <t>A vehicle blocking yours in an empty area; loiterers at garage exits</t>
        </is>
      </c>
      <c r="G17" s="2" t="inlineStr">
        <is>
          <t>Give the vehicle - it is insured, you are not; keep doors locked and gaps to escape at stops; report immediately (early reports drive recovery)</t>
        </is>
      </c>
      <c r="H17" s="2" t="inlineStr">
        <is>
          <t>South Africa, Latin America, USA, Nigeria</t>
        </is>
      </c>
    </row>
    <row r="18">
      <c r="A18" s="2" t="inlineStr">
        <is>
          <t>Home-invasion crew</t>
        </is>
      </c>
      <c r="B18" s="2" t="inlineStr">
        <is>
          <t>Criminal</t>
        </is>
      </c>
      <c r="C18" s="2" t="inlineStr">
        <is>
          <t>A team forces entry to an occupied home, often with inside information about valuables; distinct from burglary by the intent to confront occupants.</t>
        </is>
      </c>
      <c r="D18" s="2" t="inlineStr">
        <is>
          <t>Affluent suburbs, homes of business owners, rural properties</t>
        </is>
      </c>
      <c r="E18" s="2" t="inlineStr">
        <is>
          <t>Crews go where cash/business proceeds are believed kept, often after surveillance of routines</t>
        </is>
      </c>
      <c r="F18" s="2" t="inlineStr">
        <is>
          <t>Unknown 'utility/delivery' callers testing occupancy; marked properties; strangers photographing the house</t>
        </is>
      </c>
      <c r="G18" s="2" t="inlineStr">
        <is>
          <t>Do not open to unverified callers; if entry is forced, comply over property, escape beats hiding, call police from the safest room; the hardening items in this file (Security - Now) are the prevention</t>
        </is>
      </c>
      <c r="H18" s="2" t="inlineStr">
        <is>
          <t>South Africa, Latin America, rural Europe, North America (targeted)</t>
        </is>
      </c>
    </row>
    <row r="19">
      <c r="A19" s="2" t="inlineStr">
        <is>
          <t>School / workplace rampage (non-ideological)</t>
        </is>
      </c>
      <c r="B19" s="2" t="inlineStr">
        <is>
          <t>Mass violence</t>
        </is>
      </c>
      <c r="C19" s="2" t="inlineStr">
        <is>
          <t>A current/former student or employee attacks their own institution. Leakage - telling someone beforehand - precedes most cases.</t>
        </is>
      </c>
      <c r="D19" s="2" t="inlineStr">
        <is>
          <t>Schools, universities, offices, factories</t>
        </is>
      </c>
      <c r="E19" s="2" t="inlineStr">
        <is>
          <t>The attacker goes to their OWN institution, usually in its operating hours</t>
        </is>
      </c>
      <c r="F19" s="2" t="inlineStr">
        <is>
          <t>A person of concern sharing plans, fixations, or farewell behaviour - the 'leakage' that peers and coworkers most often hear first</t>
        </is>
      </c>
      <c r="G19" s="2" t="inlineStr">
        <is>
          <t>Take leakage seriously and report it - it is the most effective prevention channel that exists; in an event: Run-Hide-Tell; institutions: drills and locked classroom doors save measurable lives</t>
        </is>
      </c>
      <c r="H19" s="2" t="inlineStr">
        <is>
          <t>USA (highest frequency), cases in Brazil, Russia, Germany, China (school knife attacks)</t>
        </is>
      </c>
    </row>
    <row r="20">
      <c r="A20" s="2" t="inlineStr">
        <is>
          <t>Swatting and doxxing-to-physical</t>
        </is>
      </c>
      <c r="B20" s="2" t="inlineStr">
        <is>
          <t>Harassment escalation</t>
        </is>
      </c>
      <c r="C20" s="2" t="inlineStr">
        <is>
          <t>A fake emergency report sends armed police to a victim's address; doxxing publishes the address to invite it. The danger arrives as the response itself.</t>
        </is>
      </c>
      <c r="D20" s="2" t="inlineStr">
        <is>
          <t>Homes of streamers, activists, officials, journalists - anywhere</t>
        </is>
      </c>
      <c r="E20" s="2" t="inlineStr">
        <is>
          <t>The 'attackers' go nowhere; they send the state</t>
        </is>
      </c>
      <c r="F20" s="2" t="inlineStr">
        <is>
          <t>Police arriving in force without any local incident is the event</t>
        </is>
      </c>
      <c r="G20" s="2" t="inlineStr">
        <is>
          <t>Comply instantly and visibly with responders (hands empty, slow movements) - they believe an armed suspect is inside; afterwards, report the swatting call itself as the crime it is</t>
        </is>
      </c>
      <c r="H20" s="2" t="inlineStr">
        <is>
          <t>USA primarily; spreading with streaming culture</t>
        </is>
      </c>
    </row>
    <row r="21">
      <c r="A21" s="2" t="inlineStr">
        <is>
          <t>Meeting-point lures (scams turning physical)</t>
        </is>
      </c>
      <c r="B21" s="2" t="inlineStr">
        <is>
          <t>Criminal</t>
        </is>
      </c>
      <c r="C21" s="2" t="inlineStr">
        <is>
          <t>A date, sale, rental viewing, job interview, or 'investment meeting' arranged online moves the victim to a controlled location for robbery, assault, or worse.</t>
        </is>
      </c>
      <c r="D21" s="2" t="inlineStr">
        <is>
          <t>Second locations: cars, short-stay rentals, empty properties, parking lots at night</t>
        </is>
      </c>
      <c r="E21" s="2" t="inlineStr">
        <is>
          <t>The lure's whole design is moving you from the public first place to the private second one</t>
        </is>
      </c>
      <c r="F21" s="2" t="inlineStr">
        <is>
          <t>Pressure to move locations, to come alone, to keep the meeting secret, or to bring cash/the item itself</t>
        </is>
      </c>
      <c r="G21" s="2" t="inlineStr">
        <is>
          <t>First meetings in public, staffed places, in daylight; tell a person where and when; your own transport; never relocate with the counterparty - the refusal IS the test and the defence</t>
        </is>
      </c>
      <c r="H21" s="2" t="inlineStr">
        <is>
          <t>Worldwide - marketplace and dating platforms everywhere</t>
        </is>
      </c>
    </row>
    <row r="22">
      <c r="A22" s="2" t="inlineStr">
        <is>
          <t>Drink spiking / incapacitation robbery and assault</t>
        </is>
      </c>
      <c r="B22" s="2" t="inlineStr">
        <is>
          <t>Criminal</t>
        </is>
      </c>
      <c r="C22" s="2" t="inlineStr">
        <is>
          <t>A victim's drink is drugged in nightlife settings; outcomes range from robbery to sexual assault. Needle spiking is reported but drink tampering is the documented main route.</t>
        </is>
      </c>
      <c r="D22" s="2" t="inlineStr">
        <is>
          <t>Bars, clubs, festivals, house parties</t>
        </is>
      </c>
      <c r="E22" s="2" t="inlineStr">
        <is>
          <t>Offenders go where drinks are carried through crowds and left on ledges</t>
        </is>
      </c>
      <c r="F22" s="2" t="inlineStr">
        <is>
          <t>A drink that tastes off, sudden disproportionate intoxication, a stranger unusually invested in your drink</t>
        </is>
      </c>
      <c r="G22" s="2" t="inlineStr">
        <is>
          <t>Drinks poured/opened in front of you and held, never set down in crowds; friends operate a watch system; venues increasingly provide testing strips and covers - ask</t>
        </is>
      </c>
      <c r="H22" s="2" t="inlineStr">
        <is>
          <t>Worldwide nightlife</t>
        </is>
      </c>
    </row>
    <row r="23">
      <c r="A23" s="2" t="inlineStr">
        <is>
          <t>Cult mass-casualty events</t>
        </is>
      </c>
      <c r="B23" s="2" t="inlineStr">
        <is>
          <t>Group / ideological</t>
        </is>
      </c>
      <c r="C23" s="2" t="inlineStr">
        <is>
          <t>A closed group's leader drives mass death - suicide, murder of members, or attacks outward (Aum, Jonestown, Heaven's Gate patterns). The warning period is long and social.</t>
        </is>
      </c>
      <c r="D23" s="2" t="inlineStr">
        <is>
          <t>Isolated compounds, communes, and closed online communities</t>
        </is>
      </c>
      <c r="E23" s="2" t="inlineStr">
        <is>
          <t>The group withdraws geographically or socially - isolation precedes the eruption</t>
        </is>
      </c>
      <c r="F23" s="2" t="inlineStr">
        <is>
          <t>A member cutting family contact under group pressure; escalating apocalyptic deadlines; weapons or bulk supplies acquired by a charismatic-led group</t>
        </is>
      </c>
      <c r="G23" s="2" t="inlineStr">
        <is>
          <t>For families: maintain contact lines with members (isolation is the mechanism), report weapons/threats to police; authorities: the intervention window is the isolation phase, not the deadline week</t>
        </is>
      </c>
      <c r="H23" s="2" t="inlineStr">
        <is>
          <t>Japan (Aum), Guyana (Jonestown), USA, Uganda (Kanungu), South Korea (various)</t>
        </is>
      </c>
    </row>
    <row r="24">
      <c r="A24" s="2" t="inlineStr">
        <is>
          <t>Prison and detention violence eruptions</t>
        </is>
      </c>
      <c r="B24" s="2" t="inlineStr">
        <is>
          <t>Criminal / institutional</t>
        </is>
      </c>
      <c r="C24" s="2" t="inlineStr">
        <is>
          <t>Gang wars, riots, and mass escapes inside prisons periodically erupt into massacres - relevant to anyone living near facilities or with family inside.</t>
        </is>
      </c>
      <c r="D24" s="2" t="inlineStr">
        <is>
          <t>Prisons and detention centres, especially overcrowded gang-segregated ones</t>
        </is>
      </c>
      <c r="E24" s="2" t="inlineStr">
        <is>
          <t>Violence goes cell-block to cell-block; escapes go over walls into surrounding neighbourhoods</t>
        </is>
      </c>
      <c r="F24" s="2" t="inlineStr">
        <is>
          <t>Official alerts, visible smoke, road closures near a facility</t>
        </is>
      </c>
      <c r="G24" s="2" t="inlineStr">
        <is>
          <t>Shelter in place on official alerts after escapes/riots nearby; never approach a facility during an event; families: use official information lines only</t>
        </is>
      </c>
      <c r="H24" s="2" t="inlineStr">
        <is>
          <t>Latin America (Ecuador, Brazil, Honduras), worldwide sporadically</t>
        </is>
      </c>
    </row>
  </sheetData>
  <autoFilter ref="A1:H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30" customWidth="1" min="1" max="1"/>
    <col width="66" customWidth="1" min="2" max="2"/>
    <col width="52" customWidth="1" min="3" max="3"/>
    <col width="52" customWidth="1" min="4" max="4"/>
    <col width="58" customWidth="1" min="5" max="5"/>
    <col width="66" customWidth="1" min="6" max="6"/>
  </cols>
  <sheetData>
    <row r="1">
      <c r="A1" s="1" t="inlineStr">
        <is>
          <t>Actor Type</t>
        </is>
      </c>
      <c r="B1" s="1" t="inlineStr">
        <is>
          <t>Description</t>
        </is>
      </c>
      <c r="C1" s="1" t="inlineStr">
        <is>
          <t>Accomplices &amp; Allies Pattern</t>
        </is>
      </c>
      <c r="D1" s="1" t="inlineStr">
        <is>
          <t>Where They Operate / Go</t>
        </is>
      </c>
      <c r="E1" s="1" t="inlineStr">
        <is>
          <t>Indicators a Citizen May See</t>
        </is>
      </c>
      <c r="F1" s="1" t="inlineStr">
        <is>
          <t>Citizen Relevance &amp; Response</t>
        </is>
      </c>
    </row>
    <row r="2">
      <c r="A2" s="2" t="inlineStr">
        <is>
          <t>Lone actor</t>
        </is>
      </c>
      <c r="B2" s="2" t="inlineStr">
        <is>
          <t>A single person radicalised or aggrieved alone, usually online; the dominant terror format in Western countries now. Leakage to family/peers is common.</t>
        </is>
      </c>
      <c r="C2" s="2" t="inlineStr">
        <is>
          <t>No accomplices by definition; 'allies' are online audiences and manifestos</t>
        </is>
      </c>
      <c r="D2" s="2" t="inlineStr">
        <is>
          <t>Goes to the nearest symbolic or crowded soft target</t>
        </is>
      </c>
      <c r="E2" s="2" t="inlineStr">
        <is>
          <t>Fixation + leakage: statements of intent, sudden weapons interest, farewell behaviour - seen by family, coworkers, classmates</t>
        </is>
      </c>
      <c r="F2" s="2" t="inlineStr">
        <is>
          <t>The citizen's role is upstream: report credible intent statements to police. In the event: Run-Hide-Tell.</t>
        </is>
      </c>
    </row>
    <row r="3">
      <c r="A3" s="2" t="inlineStr">
        <is>
          <t>Cell / network</t>
        </is>
      </c>
      <c r="B3" s="2" t="inlineStr">
        <is>
          <t>A small group with divided roles (procurement, reconnaissance, execution), sometimes directed or merely inspired by a larger organisation.</t>
        </is>
      </c>
      <c r="C3" s="2" t="inlineStr">
        <is>
          <t>Accomplices are the structure: lookouts, drivers, safe houses, financiers</t>
        </is>
      </c>
      <c r="D3" s="2" t="inlineStr">
        <is>
          <t>Reconnoitres targets repeatedly before acting; strikes where rehearsed</t>
        </is>
      </c>
      <c r="E3" s="2" t="inlineStr">
        <is>
          <t>Repeated presence photographing security (not scenery), testing entrances, timing guards - behaviour, not appearance, is the indicator</t>
        </is>
      </c>
      <c r="F3" s="2" t="inlineStr">
        <is>
          <t>Report surveillance behaviour to venue staff or police - pre-attack reconnaissance is the most interruptible phase.</t>
        </is>
      </c>
    </row>
    <row r="4">
      <c r="A4" s="2" t="inlineStr">
        <is>
          <t>State sponsor / proxy</t>
        </is>
      </c>
      <c r="B4" s="2" t="inlineStr">
        <is>
          <t>A state funds, arms, or directs non-state attackers to keep deniability; the citizen experiences it as ordinary terrorism with better equipment.</t>
        </is>
      </c>
      <c r="C4" s="2" t="inlineStr">
        <is>
          <t>Allies are diplomatic and logistical: documents, safe passage, money routes</t>
        </is>
      </c>
      <c r="D4" s="2" t="inlineStr">
        <is>
          <t>Proxies go where the sponsor's foreign policy points: embassies, dissidents abroad, rival allies' cities</t>
        </is>
      </c>
      <c r="E4" s="2" t="inlineStr">
        <is>
          <t>Usually invisible at citizen level until the attack</t>
        </is>
      </c>
      <c r="F4" s="2" t="inlineStr">
        <is>
          <t>Citizen relevance is travel awareness: official advisories track sponsor-proxy tensions by country.</t>
        </is>
      </c>
    </row>
    <row r="5">
      <c r="A5" s="2" t="inlineStr">
        <is>
          <t>Mercenaries / private military companies (PMCs)</t>
        </is>
      </c>
      <c r="B5" s="2" t="inlineStr">
        <is>
          <t>Hired armed companies (Wagner/Africa Corps is the current archetype) fight for states or strongmen for pay and resource concessions. Their danger to citizens is conduct in war zones: massacres of civilians are documented (Mali, CAR).</t>
        </is>
      </c>
      <c r="C5" s="2" t="inlineStr">
        <is>
          <t>Allies: the hiring regime and resource-extraction partners; accomplices: local militias they train</t>
        </is>
      </c>
      <c r="D5" s="2" t="inlineStr">
        <is>
          <t>Go where contracts are: mines, capitals, front lines of weak states - primarily sub-Saharan Africa, also Ukraine, Syria, Libya historically</t>
        </is>
      </c>
      <c r="E5" s="2" t="inlineStr">
        <is>
          <t>Unmarked armed convoys, foreign fighters at checkpoints, mining sites under new armed guard</t>
        </is>
      </c>
      <c r="F5" s="2" t="inlineStr">
        <is>
          <t>Citizens in such regions: avoid PMC-controlled roads/sites, follow embassy guidance; travellers: these regions are already top-tier advisory zones - the PMC presence is one reason why.</t>
        </is>
      </c>
    </row>
    <row r="6">
      <c r="A6" s="2" t="inlineStr">
        <is>
          <t>Foreign ('alien') operatives and fighters</t>
        </is>
      </c>
      <c r="B6" s="2" t="inlineStr">
        <is>
          <t>Nationals of one country operating in another: intelligence officers, special forces in plain clothes, foreign terrorist fighters travelling to conflicts, sleeper agents.</t>
        </is>
      </c>
      <c r="C6" s="2" t="inlineStr">
        <is>
          <t>Allies: their home state's services; accomplices: local facilitators for documents and housing</t>
        </is>
      </c>
      <c r="D6" s="2" t="inlineStr">
        <is>
          <t>Go to capitals, diaspora communities, conflict zones, and critical-infrastructure areas</t>
        </is>
      </c>
      <c r="E6" s="2" t="inlineStr">
        <is>
          <t>At citizen level: essentially invisible; arrests and expulsions are the public trace</t>
        </is>
      </c>
      <c r="F6" s="2" t="inlineStr">
        <is>
          <t>No citizen action beyond general awareness; this category explains some 'inexplicable' incidents in news (poisonings, sabotage) - listed so the map is complete.</t>
        </is>
      </c>
    </row>
    <row r="7">
      <c r="A7" s="2" t="inlineStr">
        <is>
          <t>Fugitives and manhunt subjects</t>
        </is>
      </c>
      <c r="B7" s="2" t="inlineStr">
        <is>
          <t>Wanted persons fleeing - escaped prisoners, attack suspects, cartel figures. The danger is the manhunt zone itself: armed, desperate people moving through civilian space, and heavy police operations around them.</t>
        </is>
      </c>
      <c r="C7" s="2" t="inlineStr">
        <is>
          <t>Accomplices: family/sympathizer networks who shelter them; allies: smuggling routes</t>
        </is>
      </c>
      <c r="D7" s="2" t="inlineStr">
        <is>
          <t>Go to ground in familiar territory: relatives' areas, rural hideouts, border crossings</t>
        </is>
      </c>
      <c r="E7" s="2" t="inlineStr">
        <is>
          <t>Official alerts with descriptions; roadblocks; helicopters; a stranger seeking food/shelter/transport urgently off-book</t>
        </is>
      </c>
      <c r="F7" s="2" t="inlineStr">
        <is>
          <t>Follow official alerts literally (shelter, lock, report sightings, do not approach or harbour); sightings phoned in end most manhunts.</t>
        </is>
      </c>
    </row>
    <row r="8">
      <c r="A8" s="2" t="inlineStr">
        <is>
          <t>Cartels and organized-crime armies</t>
        </is>
      </c>
      <c r="B8" s="2" t="inlineStr">
        <is>
          <t>Trafficking organisations fielding military-grade force in their territories (Mexico, Ecuador, Brazil factions, Haiti gangs). Citizen danger is territorial: being in the wrong street during a confrontation, or mistaken for a rival/informant.</t>
        </is>
      </c>
      <c r="C8" s="2" t="inlineStr">
        <is>
          <t>Allies: corrupt officials and local businesses; accomplices: neighbourhood lookouts (halcones)</t>
        </is>
      </c>
      <c r="D8" s="2" t="inlineStr">
        <is>
          <t>Go where the routes and retail markets are: border corridors, ports, specific colonias/favelas</t>
        </is>
      </c>
      <c r="E8" s="2" t="inlineStr">
        <is>
          <t>Locals know the map: ask them. Signals: businesses closing early en masse, roadblocks by non-uniformed armed men, sudden silence of a normally busy area</t>
        </is>
      </c>
      <c r="F8" s="2" t="inlineStr">
        <is>
          <t>Local knowledge is the defence: hotel staff, drivers, and residents know which areas are whose TODAY; heed curfew rumours instantly; never photograph armed groups.</t>
        </is>
      </c>
    </row>
    <row r="9">
      <c r="A9" s="2" t="inlineStr">
        <is>
          <t>Insurgents / guerrillas</t>
        </is>
      </c>
      <c r="B9" s="2" t="inlineStr">
        <is>
          <t>Armed movements controlling or contesting rural territory (Sahel juntas' opponents, Myanmar resistance, remaining Latin American groups).</t>
        </is>
      </c>
      <c r="C9" s="2" t="inlineStr">
        <is>
          <t>Allies: sympathetic villages and external backers; accomplices: tax/levy networks</t>
        </is>
      </c>
      <c r="D9" s="2" t="inlineStr">
        <is>
          <t>Rural corridors, mining/agriculture zones, ambush-prone roads</t>
        </is>
      </c>
      <c r="E9" s="2" t="inlineStr">
        <is>
          <t>Illegal checkpoints, 'taxes' on transport, villages emptied ahead of fighting</t>
        </is>
      </c>
      <c r="F9" s="2" t="inlineStr">
        <is>
          <t>Travel only on current local advice; main roads by day; an empty village on a route is a stop signal, not a curiosity.</t>
        </is>
      </c>
    </row>
    <row r="10">
      <c r="A10" s="2" t="inlineStr">
        <is>
          <t>Cults and apocalyptic groups</t>
        </is>
      </c>
      <c r="B10" s="2" t="inlineStr">
        <is>
          <t>Closed charismatic groups whose eruptions are inward (mass suicide/murder) or occasionally outward (Aum). See also the cult plot entry.</t>
        </is>
      </c>
      <c r="C10" s="2" t="inlineStr">
        <is>
          <t>Allies: front businesses and recruiters; accomplices: the inner circle</t>
        </is>
      </c>
      <c r="D10" s="2" t="inlineStr">
        <is>
          <t>Withdraw to compounds or closed communities</t>
        </is>
      </c>
      <c r="E10" s="2" t="inlineStr">
        <is>
          <t>Isolation of members, apocalyptic deadlines, bulk purchases</t>
        </is>
      </c>
      <c r="F10" s="2" t="inlineStr">
        <is>
          <t>Families keep contact; report weapons and threats.</t>
        </is>
      </c>
    </row>
    <row r="11">
      <c r="A11" s="2" t="inlineStr">
        <is>
          <t>Gangs (street/prison) in eruption</t>
        </is>
      </c>
      <c r="B11" s="2" t="inlineStr">
        <is>
          <t>Gang wars periodically erupt into public massacres, prison massacres, or city shutdowns (Haiti, Ecuador, El Salvador pre-crackdown, Sweden's bombing/feud pattern).</t>
        </is>
      </c>
      <c r="C11" s="2" t="inlineStr">
        <is>
          <t>Allies: neighbourhood networks; accomplices: child lookouts and couriers</t>
        </is>
      </c>
      <c r="D11" s="2" t="inlineStr">
        <is>
          <t>Their own neighbourhoods and rivals' - the violence is territorial and address-specific</t>
        </is>
      </c>
      <c r="E11" s="2" t="inlineStr">
        <is>
          <t>Funeral gatherings targeted (a known pattern), graffiti changes, locals relocating quietly</t>
        </is>
      </c>
      <c r="F11" s="2" t="inlineStr">
        <is>
          <t>Address-level awareness: the danger map is street-by-street and locals hold it; visitors should not improvise routes in gang-contested districts.</t>
        </is>
      </c>
    </row>
  </sheetData>
  <autoFilter ref="A1:F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30" customWidth="1" min="1" max="1"/>
    <col width="58" customWidth="1" min="2" max="2"/>
    <col width="72" customWidth="1" min="3" max="3"/>
    <col width="62" customWidth="1" min="4" max="4"/>
    <col width="66" customWidth="1" min="5" max="5"/>
  </cols>
  <sheetData>
    <row r="1">
      <c r="A1" s="1" t="inlineStr">
        <is>
          <t>Role in a Plot / Network</t>
        </is>
      </c>
      <c r="B1" s="1" t="inlineStr">
        <is>
          <t>What the Role Does</t>
        </is>
      </c>
      <c r="C1" s="1" t="inlineStr">
        <is>
          <t>Their Crimes — The Charges in Law (Canada cited; equivalents exist in most jurisdictions)</t>
        </is>
      </c>
      <c r="D1" s="1" t="inlineStr">
        <is>
          <t>Documented Example (public record)</t>
        </is>
      </c>
      <c r="E1" s="1" t="inlineStr">
        <is>
          <t>How a Citizen Encounters / Reports This Role</t>
        </is>
      </c>
    </row>
    <row r="2">
      <c r="A2" s="2" t="inlineStr">
        <is>
          <t>Leader / emir</t>
        </is>
      </c>
      <c r="B2" s="2" t="inlineStr">
        <is>
          <t>Sets strategy, approves targets, allocates money and people. Rarely touches a weapon.</t>
        </is>
      </c>
      <c r="C2" s="2" t="inlineStr">
        <is>
          <t>Directing a terrorist group; instructing terrorist activity (Canada Criminal Code s.83.20-83.21 - up to life); conspiracy to murder (s.465); counselling offences (s.83.22)</t>
        </is>
      </c>
      <c r="D2" s="2" t="inlineStr">
        <is>
          <t>Osama bin Laden directed al-Qaeda's strategy and approved the 9/11 operation (9/11 Commission record; killed 2011)</t>
        </is>
      </c>
      <c r="E2" s="2" t="inlineStr">
        <is>
          <t>Citizens almost never encounter this role directly; its public trace is propaganda and claims of responsibility</t>
        </is>
      </c>
    </row>
    <row r="3">
      <c r="A3" s="2" t="inlineStr">
        <is>
          <t>Operational planner</t>
        </is>
      </c>
      <c r="B3" s="2" t="inlineStr">
        <is>
          <t>Converts strategy into a specific plot: target, date, method, rehearsals.</t>
        </is>
      </c>
      <c r="C3" s="2" t="inlineStr">
        <is>
          <t>Conspiracy (s.465); instructing/facilitating terrorist activity (s.83.19-83.21 - up to life); attempted murder where steps are complete</t>
        </is>
      </c>
      <c r="D3" s="2" t="inlineStr">
        <is>
          <t>Khalid Sheikh Mohammed, planner of 9/11 (captured 2003; military commission proceedings)</t>
        </is>
      </c>
      <c r="E3" s="2" t="inlineStr">
        <is>
          <t>Invisible at citizen level; planners are found by intelligence, not by publics</t>
        </is>
      </c>
    </row>
    <row r="4">
      <c r="A4" s="2" t="inlineStr">
        <is>
          <t>Handler / coordinator</t>
        </is>
      </c>
      <c r="B4" s="2" t="inlineStr">
        <is>
          <t>Runs the attackers at a distance - by phone, messages, money drops - during preparation and sometimes during the attack itself.</t>
        </is>
      </c>
      <c r="C4" s="2" t="inlineStr">
        <is>
          <t>Facilitating terrorist activity (s.83.19 - up to 14 years); counselling (s.83.22); party to every offence the attackers commit (s.21)</t>
        </is>
      </c>
      <c r="D4" s="2" t="inlineStr">
        <is>
          <t>Mumbai 2008: handlers in Pakistan directed the gunmen by phone throughout the siege (trial and inquiry record)</t>
        </is>
      </c>
      <c r="E4" s="2" t="inlineStr">
        <is>
          <t>A person in intense directed contact with travellers/departing fighters is a reporting signal for families - the NSIN line in CONTACTS &amp; DATABASES is the route</t>
        </is>
      </c>
    </row>
    <row r="5">
      <c r="A5" s="2" t="inlineStr">
        <is>
          <t>Recruiter</t>
        </is>
      </c>
      <c r="B5" s="2" t="inlineStr">
        <is>
          <t>Finds and persuades new members, typically among the aggrieved, the young, and the isolated - in person and online.</t>
        </is>
      </c>
      <c r="C5" s="2" t="inlineStr">
        <is>
          <t>Participating in / facilitating a terrorist group (s.83.18-83.19); counselling (s.83.22); where minors are involved, additional exploitation offences</t>
        </is>
      </c>
      <c r="D5" s="2" t="inlineStr">
        <is>
          <t>Anwar al-Awlaki recruited for al-Qaeda in the Arabian Peninsula largely through online sermons (killed 2011)</t>
        </is>
      </c>
      <c r="E5" s="2" t="inlineStr">
        <is>
          <t>Families and teachers see this role first: a new intense 'friend' or online figure isolating a young person is the classic encounter - report via NSIN / local police safeguarding</t>
        </is>
      </c>
    </row>
    <row r="6">
      <c r="A6" s="2" t="inlineStr">
        <is>
          <t>Propagandist / media producer</t>
        </is>
      </c>
      <c r="B6" s="2" t="inlineStr">
        <is>
          <t>Makes the videos, magazines, and channels that radicalize and claim attacks; a force multiplier treated by courts as a participant, not a bystander.</t>
        </is>
      </c>
      <c r="C6" s="2" t="inlineStr">
        <is>
          <t>Participating in a terrorist group (s.83.18); counselling and incitement offences; distributing terrorist propaganda (s.83.27 seizure/forfeiture provisions and platform law)</t>
        </is>
      </c>
      <c r="D6" s="2" t="inlineStr">
        <is>
          <t>ISIS's al-Hayat media centre professionalized this role; its producers were targeted and prosecuted as members</t>
        </is>
      </c>
      <c r="E6" s="2" t="inlineStr">
        <is>
          <t>Citizens encounter this role as content: the action is non-amplification (do not share attacker media) plus reporting the account to the platform and, for credible content, to police</t>
        </is>
      </c>
    </row>
    <row r="7">
      <c r="A7" s="2" t="inlineStr">
        <is>
          <t>Financier</t>
        </is>
      </c>
      <c r="B7" s="2" t="inlineStr">
        <is>
          <t>Raises, moves, and launders the money: donations, front charities, crime proceeds, state funds.</t>
        </is>
      </c>
      <c r="C7" s="2" t="inlineStr">
        <is>
          <t>Terrorist financing (s.83.02-83.04 - up to 10 years); money laundering (s.462.31); fraud; sanctions offences</t>
        </is>
      </c>
      <c r="D7" s="2" t="inlineStr">
        <is>
          <t>The 9/11 plot was financed (~$500k) through wire transfers and couriers from facilitators in the UAE and Germany (9/11 Commission record)</t>
        </is>
      </c>
      <c r="E7" s="2" t="inlineStr">
        <is>
          <t>Encountered as suspicious fundraising: charities that cannot say where money lands, cash-collection pressure - report to police / the NSIN; in Canada, FINTRAC-reporting entities see the transaction side</t>
        </is>
      </c>
    </row>
    <row r="8">
      <c r="A8" s="2" t="inlineStr">
        <is>
          <t>Money courier / hawala mover</t>
        </is>
      </c>
      <c r="B8" s="2" t="inlineStr">
        <is>
          <t>Physically or informally moves value across borders outside the banking system.</t>
        </is>
      </c>
      <c r="C8" s="2" t="inlineStr">
        <is>
          <t>Terrorist financing (s.83.02); laundering (s.462.31); customs/currency reporting offences</t>
        </is>
      </c>
      <c r="D8" s="2" t="inlineStr">
        <is>
          <t>Hawala networks moved al-Qaeda funds pre-9/11 (Commission record); cash couriers remain a staple of cartel and terror finance alike</t>
        </is>
      </c>
      <c r="E8" s="2" t="inlineStr">
        <is>
          <t>Bulk-cash smuggling is a border-agency encounter, not a citizen one; citizens see the collection end (see Financier)</t>
        </is>
      </c>
    </row>
    <row r="9">
      <c r="A9" s="2" t="inlineStr">
        <is>
          <t>Bomb-maker / technician</t>
        </is>
      </c>
      <c r="B9" s="2" t="inlineStr">
        <is>
          <t>Builds the devices; often the most technically skilled and most protected member. Also the role most often killed by its own work (the Alcanar explosion before Barcelona).</t>
        </is>
      </c>
      <c r="C9" s="2" t="inlineStr">
        <is>
          <t>Explosives offences (s.79-82 - up to life where injury/death intended); making/possessing devices for a terrorist group (s.83.18-83.19); murder where devices kill</t>
        </is>
      </c>
      <c r="D9" s="2" t="inlineStr">
        <is>
          <t>Ramzi Yousef built the 1993 World Trade Center bomb (convicted, life sentence, USA)</t>
        </is>
      </c>
      <c r="E9" s="2" t="inlineStr">
        <is>
          <t>Citizens encounter this role's SHADOW: chemical/gas anomalies and precursor purchases at rental properties (the Barcelona lesson) - report smells, burns, and unusual deliveries to police/fire, never investigate yourself</t>
        </is>
      </c>
    </row>
    <row r="10">
      <c r="A10" s="2" t="inlineStr">
        <is>
          <t>Weapons procurer</t>
        </is>
      </c>
      <c r="B10" s="2" t="inlineStr">
        <is>
          <t>Buys, steals, or smuggles firearms and components; in Europe, reactivates deactivated weapons or converts blank-firers.</t>
        </is>
      </c>
      <c r="C10" s="2" t="inlineStr">
        <is>
          <t>Firearms trafficking (s.99-101 - mandatory minimums and up to life for trafficking); smuggling; participating in a terrorist group</t>
        </is>
      </c>
      <c r="D10" s="2" t="inlineStr">
        <is>
          <t>The Paris 2015 attackers' Kalashnikovs came through Balkan surplus and Belgian/French criminal markets (trial record)</t>
        </is>
      </c>
      <c r="E10" s="2" t="inlineStr">
        <is>
          <t>Encountered as gun-crime generally: illegal gun offers and thefts from legal owners are police matters - report offers, secure your own firearms to standard</t>
        </is>
      </c>
    </row>
    <row r="11">
      <c r="A11" s="2" t="inlineStr">
        <is>
          <t>Forger (documents)</t>
        </is>
      </c>
      <c r="B11" s="2" t="inlineStr">
        <is>
          <t>Produces false passports, IDs, and papers that move people and money past checkpoints.</t>
        </is>
      </c>
      <c r="C11" s="2" t="inlineStr">
        <is>
          <t>Forgery and uttering forged documents (s.366-368); identity fraud (s.402.2); facilitating terrorist activity (s.83.19)</t>
        </is>
      </c>
      <c r="D11" s="2" t="inlineStr">
        <is>
          <t>The Paris/Brussels network ran a forgery workshop producing documents for the cell (Belgian trial record)</t>
        </is>
      </c>
      <c r="E11" s="2" t="inlineStr">
        <is>
          <t>Landlords and employers encounter this role's product: documents that do not verify. The defence is verification itself, through official channels</t>
        </is>
      </c>
    </row>
    <row r="12">
      <c r="A12" s="2" t="inlineStr">
        <is>
          <t>Smuggler (people and goods)</t>
        </is>
      </c>
      <c r="B12" s="2" t="inlineStr">
        <is>
          <t>Moves fighters, fugitives, weapons, and contraband across borders - the same routes serve migrants, drugs, and terror logistics.</t>
        </is>
      </c>
      <c r="C12" s="2" t="inlineStr">
        <is>
          <t>Organizing illegal entry / human smuggling (IRPA s.117); trafficking in persons (s.279.01); smuggling under the Customs Act; facilitating (s.83.19) where terror-linked</t>
        </is>
      </c>
      <c r="D12" s="2" t="inlineStr">
        <is>
          <t>Forged-document and smuggling support surrounded the Paris attackers' movements within Europe (trial record)</t>
        </is>
      </c>
      <c r="E12" s="2" t="inlineStr">
        <is>
          <t>Border communities see this role; the citizen action is reporting crossing activity to border services, not interception</t>
        </is>
      </c>
    </row>
    <row r="13">
      <c r="A13" s="2" t="inlineStr">
        <is>
          <t>Safe-house provider</t>
        </is>
      </c>
      <c r="B13" s="2" t="inlineStr">
        <is>
          <t>Rents or lends the apartment, garage, or farm where plots are prepared and attackers hide - before and after.</t>
        </is>
      </c>
      <c r="C13" s="2" t="inlineStr">
        <is>
          <t>Harbouring or concealing (s.83.23 - up to 10 years, more where the concealed offence carries life); accessory after the fact (s.23); participating (s.83.18)</t>
        </is>
      </c>
      <c r="D13" s="2" t="inlineStr">
        <is>
          <t>Brussels 2016: the attackers' bomb factory and hideouts were ordinary rented flats in Schaerbeek and Forest (trial record)</t>
        </is>
      </c>
      <c r="E13" s="2" t="inlineStr">
        <is>
          <t>Landlords are the citizens who meet this role: short unvetted cash rentals, blacked-out windows, chemical smells - the reporting guidance in CONTACTS applies; several Paris/Brussels sites were flagged by exactly such observations</t>
        </is>
      </c>
    </row>
    <row r="14">
      <c r="A14" s="2" t="inlineStr">
        <is>
          <t>Driver / transport</t>
        </is>
      </c>
      <c r="B14" s="2" t="inlineStr">
        <is>
          <t>Moves attackers and materiel; in vehicle attacks, the driver IS the weapon. Sometimes an unwitting hire, sometimes a member.</t>
        </is>
      </c>
      <c r="C14" s="2" t="inlineStr">
        <is>
          <t>Party to the offences (s.21); where the vehicle is the weapon: murder, attempted murder, dangerous operation causing death (s.320.13)</t>
        </is>
      </c>
      <c r="D14" s="2" t="inlineStr">
        <is>
          <t>Nice 2016 and Berlin 2016: rented/hijacked trucks; in Berlin the legitimate Polish driver was murdered first - he is counted among the victims, correctly</t>
        </is>
      </c>
      <c r="E14" s="2" t="inlineStr">
        <is>
          <t>Rental and haulage staff are the encounter point: cash rentals of large trucks by nervous first-time customers are a documented precursor - report through employers/police</t>
        </is>
      </c>
    </row>
    <row r="15">
      <c r="A15" s="2" t="inlineStr">
        <is>
          <t>Lookout / reconnaissance</t>
        </is>
      </c>
      <c r="B15" s="2" t="inlineStr">
        <is>
          <t>Cases targets: photographs security (not scenery), times guards and cameras, tests entrances, walks routes.</t>
        </is>
      </c>
      <c r="C15" s="2" t="inlineStr">
        <is>
          <t>Participating in a terrorist group (s.83.18); conspiracy (s.465); the reconnaissance itself is usually charged as part of the plot offences</t>
        </is>
      </c>
      <c r="D15" s="2" t="inlineStr">
        <is>
          <t>Reconnaissance behaviour preceded the Westgate, Paris, and Mumbai attacks; Mumbai's targets were scouted by David Headley (convicted in the USA for the reconnaissance role)</t>
        </is>
      </c>
      <c r="E15" s="2" t="inlineStr">
        <is>
          <t>THIS is the role citizens most usefully interrupt: venue staff and the public reporting casing behaviour is the main citizen-level prevention in this whole section - ACT/NSIN routes in CONTACTS</t>
        </is>
      </c>
    </row>
    <row r="16">
      <c r="A16" s="2" t="inlineStr">
        <is>
          <t>Attacker (shooter / bomber / driver)</t>
        </is>
      </c>
      <c r="B16" s="2" t="inlineStr">
        <is>
          <t>Executes the attack. Frequently the least informed member - cells compartmentalize so the captured attacker knows least.</t>
        </is>
      </c>
      <c r="C16" s="2" t="inlineStr">
        <is>
          <t>Murder (s.235 - life, 25 years parole ineligibility for first degree); attempted murder; explosives and firearms offences; terrorism sentencing provisions (s.83.27 consecutive sentences)</t>
        </is>
      </c>
      <c r="D16" s="2" t="inlineStr">
        <is>
          <t>The 19 hijackers of 9/11; the four London 7/7 bombers - all died in their attacks, the commonest outcome for this role in suicide formats</t>
        </is>
      </c>
      <c r="E16" s="2" t="inlineStr">
        <is>
          <t>Citizens encounter this role only in the event itself: Run-Hide-Tell (or Run-Hide-Fight) is the response, in CONTACTS &amp; DATABASES</t>
        </is>
      </c>
    </row>
    <row r="17">
      <c r="A17" s="2" t="inlineStr">
        <is>
          <t>Sleeper</t>
        </is>
      </c>
      <c r="B17" s="2" t="inlineStr">
        <is>
          <t>Lives an ordinary, law-abiding cover life for months or years until activated; the Hamburg cell lived as students.</t>
        </is>
      </c>
      <c r="C17" s="2" t="inlineStr">
        <is>
          <t>Participating in a terrorist group (s.83.18); the activation offences themselves; immigration fraud where applicable</t>
        </is>
      </c>
      <c r="D17" s="2" t="inlineStr">
        <is>
          <t>The Hamburg cell (Atta and others) lived openly as students while preparing 9/11 (Commission record)</t>
        </is>
      </c>
      <c r="E17" s="2" t="inlineStr">
        <is>
          <t>By design, nearly invisible; the citizen-level lesson is that ordinariness is not evidence either way - behaviour (leakage, procurement, casing) is the only reliable signal class</t>
        </is>
      </c>
    </row>
    <row r="18">
      <c r="A18" s="2" t="inlineStr">
        <is>
          <t>Insider facilitator</t>
        </is>
      </c>
      <c r="B18" s="2" t="inlineStr">
        <is>
          <t>An employee or trainee who abuses trusted access - base, airport, utility, police, or venue staff.</t>
        </is>
      </c>
      <c r="C18" s="2" t="inlineStr">
        <is>
          <t>Facilitating (s.83.19); breach of trust offences; the substantive offences as party (s.21); Official Secrets / security-of-information offences where state information is passed</t>
        </is>
      </c>
      <c r="D18" s="2" t="inlineStr">
        <is>
          <t>Pensacola NAS 2019: a foreign military trainee attacked his own training base (FBI investigation record); Sri Lanka 2019's bombers were insiders of the business elite by birth</t>
        </is>
      </c>
      <c r="E18" s="2" t="inlineStr">
        <is>
          <t>Employers and colleagues see the leakage and procurement signals; insider-threat reporting channels at work are the route</t>
        </is>
      </c>
    </row>
    <row r="19">
      <c r="A19" s="2" t="inlineStr">
        <is>
          <t>Accomplice after the fact</t>
        </is>
      </c>
      <c r="B19" s="2" t="inlineStr">
        <is>
          <t>Helps after the attack: hides the fugitive, destroys evidence, lies to investigators, moves money or vehicles.</t>
        </is>
      </c>
      <c r="C19" s="2" t="inlineStr">
        <is>
          <t>Accessory after the fact (s.23 - up to life where the principal offence is life); harbouring (s.83.23); obstructing justice (s.139); perjury/false statements</t>
        </is>
      </c>
      <c r="D19" s="2" t="inlineStr">
        <is>
          <t>Boston 2013: the bomber's friends removed a backpack of evidence from his dorm room - convicted of obstruction and conspiracy (US federal record)</t>
        </is>
      </c>
      <c r="E19" s="2" t="inlineStr">
        <is>
          <t>Families face this temptation in its hardest form; the lawful and ultimately kindest act is counsel + police contact early - the Boston friends' prison terms are the standing example</t>
        </is>
      </c>
    </row>
    <row r="20">
      <c r="A20" s="2" t="inlineStr">
        <is>
          <t>Online facilitator (channel admin / technical)</t>
        </is>
      </c>
      <c r="B20" s="2" t="inlineStr">
        <is>
          <t>Runs the encrypted channels, bots, file drops, and payment addresses the network lives on.</t>
        </is>
      </c>
      <c r="C20" s="2" t="inlineStr">
        <is>
          <t>Participating in / distributing for a terrorist group (s.83.18); counselling (s.83.22); computer offences (s.342.1) where systems are abused</t>
        </is>
      </c>
      <c r="D20" s="2" t="inlineStr">
        <is>
          <t>Successive generations of ISIS and far-right networks have been disrupted by arresting exactly this layer (Europol referral actions, reported annually in TE-SAT)</t>
        </is>
      </c>
      <c r="E20" s="2" t="inlineStr">
        <is>
          <t>Citizens meet this role as recruiters' storefront: report accounts to platforms; credible operational content goes to police (NSIN)</t>
        </is>
      </c>
    </row>
    <row r="21">
      <c r="A21" s="2" t="inlineStr">
        <is>
          <t>Child recruiter / exploiter</t>
        </is>
      </c>
      <c r="B21" s="2" t="inlineStr">
        <is>
          <t>Grooms minors into roles - couriers, lookouts, wives, and in the Surabaya case, bombers; treated in law as among the gravest roles.</t>
        </is>
      </c>
      <c r="C21" s="2" t="inlineStr">
        <is>
          <t>All the group offences above plus: trafficking in persons under 18 (s.279.011 - mandatory minimums), child exploitation offences, and in armed-conflict law, war crimes for recruiting child soldiers</t>
        </is>
      </c>
      <c r="D21" s="2" t="inlineStr">
        <is>
          <t>Surabaya 2018: three families, including children aged 9-18, bombed churches (Indonesian police record) - the case that rewrote the family-unit model</t>
        </is>
      </c>
      <c r="E21" s="2" t="inlineStr">
        <is>
          <t>Teachers, youth workers, and parents are the encounter: sudden isolation + a controlling new influence + travel talk is the reportable pattern (Five Eyes youth guidance, in CONTACTS)</t>
        </is>
      </c>
    </row>
  </sheetData>
  <autoFilter ref="A1:E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30" customWidth="1" min="1" max="1"/>
    <col width="58" customWidth="1" min="2" max="2"/>
    <col width="24" customWidth="1" min="3" max="3"/>
    <col width="52" customWidth="1" min="4" max="4"/>
    <col width="44" customWidth="1" min="5" max="5"/>
    <col width="66" customWidth="1" min="6" max="6"/>
  </cols>
  <sheetData>
    <row r="1">
      <c r="A1" s="1" t="inlineStr">
        <is>
          <t>Setting</t>
        </is>
      </c>
      <c r="B1" s="1" t="inlineStr">
        <is>
          <t>Example Locations Worldwide</t>
        </is>
      </c>
      <c r="C1" s="1" t="inlineStr">
        <is>
          <t>Approx. Coordinates (lead example)</t>
        </is>
      </c>
      <c r="D1" s="1" t="inlineStr">
        <is>
          <t>Dangers Concentrated There</t>
        </is>
      </c>
      <c r="E1" s="1" t="inlineStr">
        <is>
          <t>Peak-Risk Pattern</t>
        </is>
      </c>
      <c r="F1" s="1" t="inlineStr">
        <is>
          <t>Protective Actions</t>
        </is>
      </c>
    </row>
    <row r="2">
      <c r="A2" s="2" t="inlineStr">
        <is>
          <t>Transit stations &amp; metro systems</t>
        </is>
      </c>
      <c r="B2" s="2" t="inlineStr">
        <is>
          <t>London Underground, Madrid Atocha, Brussels Maelbeek, Moscow Metro, Tokyo Metro</t>
        </is>
      </c>
      <c r="C2" s="2" t="inlineStr">
        <is>
          <t>51.5074, -0.1278 (London)</t>
        </is>
      </c>
      <c r="D2" s="2" t="inlineStr">
        <is>
          <t>Bombings, chemical release (Tokyo), armed assault, crowd crush at rush hour</t>
        </is>
      </c>
      <c r="E2" s="2" t="inlineStr">
        <is>
          <t>Morning/evening peak; the platform and the train doorway bunch hardest</t>
        </is>
      </c>
      <c r="F2" s="2" t="inlineStr">
        <is>
          <t>Keep moving through concourses; stand back from platform edges and unattended items; know the next station's exit layout by habit</t>
        </is>
      </c>
    </row>
    <row r="3">
      <c r="A3" s="2" t="inlineStr">
        <is>
          <t>Places of worship</t>
        </is>
      </c>
      <c r="B3" s="2" t="inlineStr">
        <is>
          <t>Churches Sri Lanka 2019, mosques Christchurch 2019, synagogues Pittsburgh/Halle, Sikh temple Wisconsin</t>
        </is>
      </c>
      <c r="C3" s="2" t="inlineStr">
        <is>
          <t>6.9271, 79.8612 (Colombo)</t>
        </is>
      </c>
      <c r="D3" s="2" t="inlineStr">
        <is>
          <t>Armed assault, suicide bombing, arson, vehicle attack on queues</t>
        </is>
      </c>
      <c r="E3" s="2" t="inlineStr">
        <is>
          <t>Major festivals (Easter, Ramadan Fridays, High Holidays) at entry/exit bunching</t>
        </is>
      </c>
      <c r="F3" s="2" t="inlineStr">
        <is>
          <t>Congregations increasingly use greeters-as-observers and locked-after-start doors - support both; as a visitor, note exits on entry like any venue</t>
        </is>
      </c>
    </row>
    <row r="4">
      <c r="A4" s="2" t="inlineStr">
        <is>
          <t>Open-air festivals, parades &amp; promenades</t>
        </is>
      </c>
      <c r="B4" s="2" t="inlineStr">
        <is>
          <t>Nice Promenade des Anglais, Boston Marathon finish, Berlin Christmas markets, Re'im festival site</t>
        </is>
      </c>
      <c r="C4" s="2" t="inlineStr">
        <is>
          <t>43.6947, 7.2620 (Nice)</t>
        </is>
      </c>
      <c r="D4" s="2" t="inlineStr">
        <is>
          <t>Vehicle ramming, bombing, armed assault, crowd crush</t>
        </is>
      </c>
      <c r="E4" s="2" t="inlineStr">
        <is>
          <t>National days, religious festivals, event finales when crowds surge to exits</t>
        </is>
      </c>
      <c r="F4" s="2" t="inlineStr">
        <is>
          <t>Walk behind barriers/bollards; position near lateral exits at finales; the 30-second exit scan on arrival (Security - Future, this file)</t>
        </is>
      </c>
    </row>
    <row r="5">
      <c r="A5" s="2" t="inlineStr">
        <is>
          <t>Markets &amp; shopping districts</t>
        </is>
      </c>
      <c r="B5" s="2" t="inlineStr">
        <is>
          <t>Christmas markets (Berlin, Strasbourg threat), souks, night markets, Westgate &amp; malls (Nairobi, Munich)</t>
        </is>
      </c>
      <c r="C5" s="2" t="inlineStr">
        <is>
          <t>52.5049, 13.3352 (Berlin Breitscheidplatz)</t>
        </is>
      </c>
      <c r="D5" s="2" t="inlineStr">
        <is>
          <t>Vehicle ramming, bombing, armed assault, pickpocket/distraction teams (the everyday danger)</t>
        </is>
      </c>
      <c r="E5" s="2" t="inlineStr">
        <is>
          <t>Holiday seasons, weekends, sale events</t>
        </is>
      </c>
      <c r="F5" s="2" t="inlineStr">
        <is>
          <t>Bollarded entries matter; keep valuables zipped and forward-facing; in an incident the market's side streets are the exits - know two</t>
        </is>
      </c>
    </row>
    <row r="6">
      <c r="A6" s="2" t="inlineStr">
        <is>
          <t>Hotels (international)</t>
        </is>
      </c>
      <c r="B6" s="2" t="inlineStr">
        <is>
          <t>Mumbai Taj/Oberoi, Jakarta Marriott, Kabul Intercontinental, Bamako Radisson</t>
        </is>
      </c>
      <c r="C6" s="2" t="inlineStr">
        <is>
          <t>19.0760, 72.8777 (Mumbai)</t>
        </is>
      </c>
      <c r="D6" s="2" t="inlineStr">
        <is>
          <t>Armed siege, bombing of lobbies/restaurants</t>
        </is>
      </c>
      <c r="E6" s="2" t="inlineStr">
        <is>
          <t>Conferences, diplomatic and media presence</t>
        </is>
      </c>
      <c r="F6" s="2" t="inlineStr">
        <is>
          <t>Room between floors 3-6 (above street attack, within ladder reach is the classic guidance); know the stairwell from your room in the dark - count the doors</t>
        </is>
      </c>
    </row>
    <row r="7">
      <c r="A7" s="2" t="inlineStr">
        <is>
          <t>Schools &amp; universities</t>
        </is>
      </c>
      <c r="B7" s="2" t="inlineStr">
        <is>
          <t>Beslan, Peshawar APS, Garissa University, Sandy Hook, Parkland, Virginia Tech</t>
        </is>
      </c>
      <c r="C7" s="2" t="inlineStr">
        <is>
          <t>43.1900, 44.5450 (Beslan, approx.)</t>
        </is>
      </c>
      <c r="D7" s="2" t="inlineStr">
        <is>
          <t>Armed assault, hostage siege, knife attacks (China pattern), non-ideological rampage</t>
        </is>
      </c>
      <c r="E7" s="2" t="inlineStr">
        <is>
          <t>School hours; anniversaries of prior attacks (copycat pattern)</t>
        </is>
      </c>
      <c r="F7" s="2" t="inlineStr">
        <is>
          <t>Leakage reporting is the prevention; lockdown drills and lockable classroom doors are the mitigation - support both as a parent/citizen</t>
        </is>
      </c>
    </row>
    <row r="8">
      <c r="A8" s="2" t="inlineStr">
        <is>
          <t>Hospitals &amp; clinics</t>
        </is>
      </c>
      <c r="B8" s="2" t="inlineStr">
        <is>
          <t>Attacked in war zones repeatedly (Gaza, Ukraine, Syria, Afghanistan); also targets of grievance violence</t>
        </is>
      </c>
      <c r="C8" s="2" t="inlineStr">
        <is>
          <t>34.5659, 69.2818 (Kabul)</t>
        </is>
      </c>
      <c r="D8" s="2" t="inlineStr">
        <is>
          <t>Bombing (incl. follow-on attacks on responders), armed assault, ambulance-borne devices in war zones</t>
        </is>
      </c>
      <c r="E8" s="2" t="inlineStr">
        <is>
          <t>Immediately after mass-casualty events - the cruel pattern of striking the receiving hospital</t>
        </is>
      </c>
      <c r="F8" s="2" t="inlineStr">
        <is>
          <t>As a visitor: comply with hospital security checks without complaint - they exist because of this row</t>
        </is>
      </c>
    </row>
    <row r="9">
      <c r="A9" s="2" t="inlineStr">
        <is>
          <t>Government buildings, courts, embassies</t>
        </is>
      </c>
      <c r="B9" s="2" t="inlineStr">
        <is>
          <t>Oklahoma City federal building, embassies worldwide, parliament attacks (London, Ottawa, Vienna)</t>
        </is>
      </c>
      <c r="C9" s="2" t="inlineStr">
        <is>
          <t>35.4729, -97.5169 (Oklahoma City)</t>
        </is>
      </c>
      <c r="D9" s="2" t="inlineStr">
        <is>
          <t>Vehicle bombs, armed assault, lone-actor attacks</t>
        </is>
      </c>
      <c r="E9" s="2" t="inlineStr">
        <is>
          <t>Symbolic dates, verdict days, elections</t>
        </is>
      </c>
      <c r="F9" s="2" t="inlineStr">
        <is>
          <t>Keep visits purposeful and brief in protest periods; never leave vehicles in restricted zones - yours will be treated as suspect</t>
        </is>
      </c>
    </row>
    <row r="10">
      <c r="A10" s="2" t="inlineStr">
        <is>
          <t>Concert halls &amp; theatres</t>
        </is>
      </c>
      <c r="B10" s="2" t="inlineStr">
        <is>
          <t>Bataclan Paris, Manchester Arena, Moscow Crocus City Hall, Moscow Dubrovka theatre</t>
        </is>
      </c>
      <c r="C10" s="2" t="inlineStr">
        <is>
          <t>48.8631, 2.3709 (Bataclan, Paris)</t>
        </is>
      </c>
      <c r="D10" s="2" t="inlineStr">
        <is>
          <t>Armed assault, hostage siege, bombing at exits (Manchester pattern: the foyer at finale)</t>
        </is>
      </c>
      <c r="E10" s="2" t="inlineStr">
        <is>
          <t>The finale/exit surge</t>
        </is>
      </c>
      <c r="F10" s="2" t="inlineStr">
        <is>
          <t>Exits on entry - count them; in an attack the stage doors and service corridors are also exits; at the finale, leaving 3 minutes early beats the foyer crush in every model</t>
        </is>
      </c>
    </row>
    <row r="11">
      <c r="A11" s="2" t="inlineStr">
        <is>
          <t>Stadiums &amp; sporting events</t>
        </is>
      </c>
      <c r="B11" s="2" t="inlineStr">
        <is>
          <t>Stade de France (attacked outside), Kabul cricket, marathon finishes</t>
        </is>
      </c>
      <c r="C11" s="2" t="inlineStr">
        <is>
          <t>48.9244, 2.3601 (Stade de France)</t>
        </is>
      </c>
      <c r="D11" s="2" t="inlineStr">
        <is>
          <t>Bombing at gates, armed assault, crowd crush (the historic mass killer in this setting)</t>
        </is>
      </c>
      <c r="E11" s="2" t="inlineStr">
        <is>
          <t>Entry gates pre-match; exits at final whistle</t>
        </is>
      </c>
      <c r="F11" s="2" t="inlineStr">
        <is>
          <t>Arrive early enough to avoid gate compression; the crush risk is at gates, not seats</t>
        </is>
      </c>
    </row>
    <row r="12">
      <c r="A12" s="2" t="inlineStr">
        <is>
          <t>Restaurants, cafes &amp; nightlife streets</t>
        </is>
      </c>
      <c r="B12" s="2" t="inlineStr">
        <is>
          <t>Paris terraces 2015, Istanbul Reina nightclub, Orlando Pulse, Vienna 2020, Sydney Lindt cafe (siege)</t>
        </is>
      </c>
      <c r="C12" s="2" t="inlineStr">
        <is>
          <t>48.8566, 2.3522 (Paris)</t>
        </is>
      </c>
      <c r="D12" s="2" t="inlineStr">
        <is>
          <t>Armed assault, siege, drink spiking, crowd-crush in club fires</t>
        </is>
      </c>
      <c r="E12" s="2" t="inlineStr">
        <is>
          <t>Weekend nights; terraces in warm months</t>
        </is>
      </c>
      <c r="F12" s="2" t="inlineStr">
        <is>
          <t>Sit with a view of the door and a route behind you that is not the door; in clubs, locate the second exit - club disasters are exit disasters</t>
        </is>
      </c>
    </row>
    <row r="13">
      <c r="A13" s="2" t="inlineStr">
        <is>
          <t>Beaches &amp; resort zones</t>
        </is>
      </c>
      <c r="B13" s="2" t="inlineStr">
        <is>
          <t>Sousse (Tunisia) beach attack, Bali Kuta, Sharm el-Sheikh</t>
        </is>
      </c>
      <c r="C13" s="2" t="inlineStr">
        <is>
          <t>-8.7176, 115.1760 (Kuta, Bali)</t>
        </is>
      </c>
      <c r="D13" s="2" t="inlineStr">
        <is>
          <t>Armed assault on tourists, bombings of nightlife</t>
        </is>
      </c>
      <c r="E13" s="2" t="inlineStr">
        <is>
          <t>Peak tourist season</t>
        </is>
      </c>
      <c r="F13" s="2" t="inlineStr">
        <is>
          <t>Resort security perimeters exist because of this row; outside them, the promenade rules of festivals apply</t>
        </is>
      </c>
    </row>
    <row r="14">
      <c r="A14" s="2" t="inlineStr">
        <is>
          <t>Election &amp; political gatherings</t>
        </is>
      </c>
      <c r="B14" s="2" t="inlineStr">
        <is>
          <t>Rallies and campaign events (assassination attempts: USA 2024, Slovakia 2024, Japan 2022), polling places in polarized regions</t>
        </is>
      </c>
      <c r="C14" s="2" t="inlineStr">
        <is>
          <t>40.8530, -79.8730 (Butler, PA, approx.)</t>
        </is>
      </c>
      <c r="D14" s="2" t="inlineStr">
        <is>
          <t>Assassination attempts, bombing, mob violence</t>
        </is>
      </c>
      <c r="E14" s="2" t="inlineStr">
        <is>
          <t>Campaign peaks; results nights</t>
        </is>
      </c>
      <c r="F14" s="2" t="inlineStr">
        <is>
          <t>Perimeters and screening are the mitigation; as an attendee, the exit-scan habit applies doubly</t>
        </is>
      </c>
    </row>
    <row r="15">
      <c r="A15" s="2" t="inlineStr">
        <is>
          <t>Funerals &amp; religious processions</t>
        </is>
      </c>
      <c r="B15" s="2" t="inlineStr">
        <is>
          <t>Funeral bombings (Iraq, Afghanistan pattern), Ashura processions, Janaza gatherings</t>
        </is>
      </c>
      <c r="C15" s="2" t="inlineStr">
        <is>
          <t>33.3152, 44.3661 (Baghdad)</t>
        </is>
      </c>
      <c r="D15" s="2" t="inlineStr">
        <is>
          <t>Suicide bombing - funerals of bombing victims are themselves targeted (the double-atrocity pattern)</t>
        </is>
      </c>
      <c r="E15" s="2" t="inlineStr">
        <is>
          <t>Immediately following prior attacks</t>
        </is>
      </c>
      <c r="F15" s="2" t="inlineStr">
        <is>
          <t>Awareness that gatherings honouring victims are a known secondary target is grim and necessary in affected regions</t>
        </is>
      </c>
    </row>
    <row r="16">
      <c r="A16" s="2" t="inlineStr">
        <is>
          <t>Airports (landside)</t>
        </is>
      </c>
      <c r="B16" s="2" t="inlineStr">
        <is>
          <t>Brussels Zaventem, Istanbul Ataturk, Kabul airport gates 2021, Domodedovo</t>
        </is>
      </c>
      <c r="C16" s="2" t="inlineStr">
        <is>
          <t>50.9010, 4.4844 (Brussels Airport)</t>
        </is>
      </c>
      <c r="D16" s="2" t="inlineStr">
        <is>
          <t>Bombing/shooting in check-in halls and gate queues - the landside, before security, is the exposed zone</t>
        </is>
      </c>
      <c r="E16" s="2" t="inlineStr">
        <is>
          <t>Peak departure banks; evacuation/chaos events (Kabul)</t>
        </is>
      </c>
      <c r="F16" s="2" t="inlineStr">
        <is>
          <t>Minimize landside dwell time: check in, go through security; meet arrivals inside the flow, not in static crowds at the doors</t>
        </is>
      </c>
    </row>
    <row r="17">
      <c r="A17" s="2" t="inlineStr">
        <is>
          <t>Pipelines, substations &amp; remote infrastructure (as settings citizens live near)</t>
        </is>
      </c>
      <c r="B17" s="2" t="inlineStr">
        <is>
          <t>Substations (USA shootings), Nord Stream (state sabotage, Baltic Sea)</t>
        </is>
      </c>
      <c r="C17" s="2" t="inlineStr">
        <is>
          <t>54.2500, 18.9667 (Baltic, approx. Nord Stream site)</t>
        </is>
      </c>
      <c r="D17" s="2" t="inlineStr">
        <is>
          <t>Sabotage causing regional outages - the citizen impact is the outage, not the blast</t>
        </is>
      </c>
      <c r="E17" s="2" t="inlineStr">
        <is>
          <t>Crisis and war periods</t>
        </is>
      </c>
      <c r="F17" s="2" t="inlineStr">
        <is>
          <t>This is what the household energy/water builds answer; report fence-line intruders, never confront</t>
        </is>
      </c>
    </row>
  </sheetData>
  <autoFilter ref="A1:F1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7"/>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30" customWidth="1" min="3" max="3"/>
    <col width="20" customWidth="1" min="4" max="4"/>
    <col width="24" customWidth="1" min="5" max="5"/>
    <col width="58" customWidth="1" min="6" max="6"/>
    <col width="66" customWidth="1" min="7" max="7"/>
    <col width="58" customWidth="1" min="8" max="8"/>
    <col width="14" customWidth="1" min="10" max="10"/>
    <col width="14" customWidth="1" min="11" max="11"/>
    <col width="14" customWidth="1" min="12" max="12"/>
  </cols>
  <sheetData>
    <row r="1">
      <c r="A1" s="1" t="inlineStr">
        <is>
          <t>Eruption (Historical Event)</t>
        </is>
      </c>
      <c r="B1" s="1" t="inlineStr">
        <is>
          <t>Year</t>
        </is>
      </c>
      <c r="C1" s="1" t="inlineStr">
        <is>
          <t>Location</t>
        </is>
      </c>
      <c r="D1" s="1" t="inlineStr">
        <is>
          <t>Approx. Coordinates</t>
        </is>
      </c>
      <c r="E1" s="1" t="inlineStr">
        <is>
          <t>Setting</t>
        </is>
      </c>
      <c r="F1" s="1" t="inlineStr">
        <is>
          <t>Actors (organisations; principals named in the public record where historically documented)</t>
        </is>
      </c>
      <c r="G1" s="1" t="inlineStr">
        <is>
          <t>What Happened</t>
        </is>
      </c>
      <c r="H1" s="1" t="inlineStr">
        <is>
          <t>Lesson for Citizens</t>
        </is>
      </c>
      <c r="J1" t="inlineStr">
        <is>
          <t>Longitude</t>
        </is>
      </c>
      <c r="K1" t="inlineStr">
        <is>
          <t>Latitude</t>
        </is>
      </c>
      <c r="L1" t="inlineStr">
        <is>
          <t>Event</t>
        </is>
      </c>
    </row>
    <row r="2">
      <c r="A2" s="2" t="inlineStr">
        <is>
          <t>Tokyo subway sarin attack</t>
        </is>
      </c>
      <c r="B2" s="2" t="n">
        <v>1995</v>
      </c>
      <c r="C2" s="2" t="inlineStr">
        <is>
          <t>Tokyo, Japan</t>
        </is>
      </c>
      <c r="D2" s="2" t="inlineStr">
        <is>
          <t>35.6812, 139.7671</t>
        </is>
      </c>
      <c r="E2" s="2" t="inlineStr">
        <is>
          <t>Metro system</t>
        </is>
      </c>
      <c r="F2" s="2" t="inlineStr">
        <is>
          <t>Aum Shinrikyo cult</t>
        </is>
      </c>
      <c r="G2" s="2" t="inlineStr">
        <is>
          <t>Cult members released sarin on five trains at rush hour; 13 dead, thousands injured</t>
        </is>
      </c>
      <c r="H2" s="2" t="inlineStr">
        <is>
          <t>Enclosed transit is the CBR setting; moving out and upwind is the citizen response</t>
        </is>
      </c>
      <c r="J2" t="n">
        <v>139.7671</v>
      </c>
      <c r="K2" t="n">
        <v>35.6812</v>
      </c>
      <c r="L2" t="inlineStr">
        <is>
          <t>Tokyo subway sarin attack</t>
        </is>
      </c>
    </row>
    <row r="3">
      <c r="A3" s="2" t="inlineStr">
        <is>
          <t>Oklahoma City bombing</t>
        </is>
      </c>
      <c r="B3" s="2" t="n">
        <v>1995</v>
      </c>
      <c r="C3" s="2" t="inlineStr">
        <is>
          <t>Oklahoma City, USA</t>
        </is>
      </c>
      <c r="D3" s="2" t="inlineStr">
        <is>
          <t>35.4729, -97.5169</t>
        </is>
      </c>
      <c r="E3" s="2" t="inlineStr">
        <is>
          <t>Federal building</t>
        </is>
      </c>
      <c r="F3" s="2" t="inlineStr">
        <is>
          <t>Domestic extremist + accomplice</t>
        </is>
      </c>
      <c r="G3" s="2" t="inlineStr">
        <is>
          <t>A truck bomb destroyed the Murrah Building; 168 dead</t>
        </is>
      </c>
      <c r="H3" s="2" t="inlineStr">
        <is>
          <t>Vehicle access to symbolic buildings is the control point; building setbacks exist because of this</t>
        </is>
      </c>
      <c r="J3" t="n">
        <v>-97.51690000000001</v>
      </c>
      <c r="K3" t="n">
        <v>35.4729</v>
      </c>
      <c r="L3" t="inlineStr">
        <is>
          <t>Oklahoma City bombing</t>
        </is>
      </c>
    </row>
    <row r="4">
      <c r="A4" s="2" t="inlineStr">
        <is>
          <t>US embassy bombings</t>
        </is>
      </c>
      <c r="B4" s="2" t="n">
        <v>1998</v>
      </c>
      <c r="C4" s="2" t="inlineStr">
        <is>
          <t>Nairobi, Kenya &amp; Dar es Salaam, Tanzania</t>
        </is>
      </c>
      <c r="D4" s="2" t="inlineStr">
        <is>
          <t>-1.2864, 36.8172</t>
        </is>
      </c>
      <c r="E4" s="2" t="inlineStr">
        <is>
          <t>Embassies</t>
        </is>
      </c>
      <c r="F4" s="2" t="inlineStr">
        <is>
          <t>Al-Qaeda cell + local accomplices</t>
        </is>
      </c>
      <c r="G4" s="2" t="inlineStr">
        <is>
          <t>Simultaneous truck bombs; 224 dead, mostly local passersby and staff</t>
        </is>
      </c>
      <c r="H4" s="2" t="inlineStr">
        <is>
          <t>Embassy districts export risk to their neighbours; perimeter distance saves bystanders</t>
        </is>
      </c>
      <c r="J4" t="n">
        <v>36.8172</v>
      </c>
      <c r="K4" t="n">
        <v>-1.2864</v>
      </c>
      <c r="L4" t="inlineStr">
        <is>
          <t>US embassy bombings</t>
        </is>
      </c>
    </row>
    <row r="5">
      <c r="A5" s="2" t="inlineStr">
        <is>
          <t>9/11 attacks</t>
        </is>
      </c>
      <c r="B5" s="2" t="n">
        <v>2001</v>
      </c>
      <c r="C5" s="2" t="inlineStr">
        <is>
          <t>New York &amp; Arlington, USA</t>
        </is>
      </c>
      <c r="D5" s="2" t="inlineStr">
        <is>
          <t>40.7115, -74.0134</t>
        </is>
      </c>
      <c r="E5" s="2" t="inlineStr">
        <is>
          <t>Airliners, towers, Pentagon</t>
        </is>
      </c>
      <c r="F5" s="2" t="inlineStr">
        <is>
          <t>Al-Qaeda network (19 hijackers + sponsor state-tolerated network)</t>
        </is>
      </c>
      <c r="G5" s="2" t="inlineStr">
        <is>
          <t>Four hijacked airliners; 2,977 dead</t>
        </is>
      </c>
      <c r="H5" s="2" t="inlineStr">
        <is>
          <t>Aviation security was rebuilt worldwide from this single morning; cockpit doors are its monument</t>
        </is>
      </c>
      <c r="J5" t="n">
        <v>-74.0134</v>
      </c>
      <c r="K5" t="n">
        <v>40.7115</v>
      </c>
      <c r="L5" t="inlineStr">
        <is>
          <t>9/11 attacks</t>
        </is>
      </c>
    </row>
    <row r="6">
      <c r="A6" s="2" t="inlineStr">
        <is>
          <t>Bali bombings</t>
        </is>
      </c>
      <c r="B6" s="2" t="n">
        <v>2002</v>
      </c>
      <c r="C6" s="2" t="inlineStr">
        <is>
          <t>Kuta, Bali, Indonesia</t>
        </is>
      </c>
      <c r="D6" s="2" t="inlineStr">
        <is>
          <t>-8.7176, 115.1760</t>
        </is>
      </c>
      <c r="E6" s="2" t="inlineStr">
        <is>
          <t>Nightlife district</t>
        </is>
      </c>
      <c r="F6" s="2" t="inlineStr">
        <is>
          <t>Jemaah Islamiyah cell</t>
        </is>
      </c>
      <c r="G6" s="2" t="inlineStr">
        <is>
          <t>Car bomb + suicide bomb in a tourist strip; 202 dead, mostly foreign tourists</t>
        </is>
      </c>
      <c r="H6" s="2" t="inlineStr">
        <is>
          <t>Tourist nightlife is a named target class; venue exit awareness applies</t>
        </is>
      </c>
      <c r="J6" t="n">
        <v>115.176</v>
      </c>
      <c r="K6" t="n">
        <v>-8.717599999999999</v>
      </c>
      <c r="L6" t="inlineStr">
        <is>
          <t>Bali bombings</t>
        </is>
      </c>
    </row>
    <row r="7">
      <c r="A7" s="2" t="inlineStr">
        <is>
          <t>Madrid train bombings</t>
        </is>
      </c>
      <c r="B7" s="2" t="n">
        <v>2004</v>
      </c>
      <c r="C7" s="2" t="inlineStr">
        <is>
          <t>Madrid, Spain</t>
        </is>
      </c>
      <c r="D7" s="2" t="inlineStr">
        <is>
          <t>40.4065, -3.6910 (Atocha)</t>
        </is>
      </c>
      <c r="E7" s="2" t="inlineStr">
        <is>
          <t>Commuter trains</t>
        </is>
      </c>
      <c r="F7" s="2" t="inlineStr">
        <is>
          <t>Local cell inspired by Al-Qaeda</t>
        </is>
      </c>
      <c r="G7" s="2" t="inlineStr">
        <is>
          <t>Ten rucksack bombs on four trains; 193 dead</t>
        </is>
      </c>
      <c r="H7" s="2" t="inlineStr">
        <is>
          <t>Left-luggage vigilance on commuter rail comes from this and London</t>
        </is>
      </c>
      <c r="J7" t="n">
        <v>-3.691</v>
      </c>
      <c r="K7" t="n">
        <v>40.4065</v>
      </c>
      <c r="L7" t="inlineStr">
        <is>
          <t>Madrid train bombings</t>
        </is>
      </c>
    </row>
    <row r="8">
      <c r="A8" s="2" t="inlineStr">
        <is>
          <t>Beslan school siege</t>
        </is>
      </c>
      <c r="B8" s="2" t="n">
        <v>2004</v>
      </c>
      <c r="C8" s="2" t="inlineStr">
        <is>
          <t>Beslan, Russia</t>
        </is>
      </c>
      <c r="D8" s="2" t="inlineStr">
        <is>
          <t>43.1900, 44.5450</t>
        </is>
      </c>
      <c r="E8" s="2" t="inlineStr">
        <is>
          <t>School</t>
        </is>
      </c>
      <c r="F8" s="2" t="inlineStr">
        <is>
          <t>Chechen separatist militants</t>
        </is>
      </c>
      <c r="G8" s="2" t="inlineStr">
        <is>
          <t>1,100+ hostages; 334 dead including 186 children after a storming</t>
        </is>
      </c>
      <c r="H8" s="2" t="inlineStr">
        <is>
          <t>Schools are hostage targets in separatist wars; the siege rules in the plots sheet apply</t>
        </is>
      </c>
      <c r="J8" t="n">
        <v>44.545</v>
      </c>
      <c r="K8" t="n">
        <v>43.19</v>
      </c>
      <c r="L8" t="inlineStr">
        <is>
          <t>Beslan school siege</t>
        </is>
      </c>
    </row>
    <row r="9">
      <c r="A9" s="2" t="inlineStr">
        <is>
          <t>London 7/7 bombings</t>
        </is>
      </c>
      <c r="B9" s="2" t="n">
        <v>2005</v>
      </c>
      <c r="C9" s="2" t="inlineStr">
        <is>
          <t>London, UK</t>
        </is>
      </c>
      <c r="D9" s="2" t="inlineStr">
        <is>
          <t>51.5252, -0.0875 (Aldgate, approx.)</t>
        </is>
      </c>
      <c r="E9" s="2" t="inlineStr">
        <is>
          <t>Underground + bus</t>
        </is>
      </c>
      <c r="F9" s="2" t="inlineStr">
        <is>
          <t>Homegrown cell (4 suicide bombers)</t>
        </is>
      </c>
      <c r="G9" s="2" t="inlineStr">
        <is>
          <t>52 dead across three trains and a bus</t>
        </is>
      </c>
      <c r="H9" s="2" t="inlineStr">
        <is>
          <t>Homegrown cells need no travel signature - behaviour and leakage are the only citizen-level indicators</t>
        </is>
      </c>
      <c r="J9" t="n">
        <v>-0.08749999999999999</v>
      </c>
      <c r="K9" t="n">
        <v>51.5252</v>
      </c>
      <c r="L9" t="inlineStr">
        <is>
          <t>London 7/7 bombings</t>
        </is>
      </c>
    </row>
    <row r="10">
      <c r="A10" s="2" t="inlineStr">
        <is>
          <t>Mumbai attacks</t>
        </is>
      </c>
      <c r="B10" s="2" t="n">
        <v>2008</v>
      </c>
      <c r="C10" s="2" t="inlineStr">
        <is>
          <t>Mumbai, India</t>
        </is>
      </c>
      <c r="D10" s="2" t="inlineStr">
        <is>
          <t>19.0760, 72.8777</t>
        </is>
      </c>
      <c r="E10" s="2" t="inlineStr">
        <is>
          <t>Hotels, station, cafe, Jewish centre</t>
        </is>
      </c>
      <c r="F10" s="2" t="inlineStr">
        <is>
          <t>Lashkar-e-Taiba (10 gunmen, sea-borne, externally handled)</t>
        </is>
      </c>
      <c r="G10" s="2" t="inlineStr">
        <is>
          <t>60-hour multi-site siege; 166 dead</t>
        </is>
      </c>
      <c r="H10" s="2" t="inlineStr">
        <is>
          <t>The modern siege template: multiple sites, handlers by phone, media-aware; hotel guidance in settings comes from this</t>
        </is>
      </c>
      <c r="J10" t="n">
        <v>72.8777</v>
      </c>
      <c r="K10" t="n">
        <v>19.076</v>
      </c>
      <c r="L10" t="inlineStr">
        <is>
          <t>Mumbai attacks</t>
        </is>
      </c>
    </row>
    <row r="11">
      <c r="A11" s="2" t="inlineStr">
        <is>
          <t>Utøya &amp; Oslo attacks</t>
        </is>
      </c>
      <c r="B11" s="2" t="n">
        <v>2011</v>
      </c>
      <c r="C11" s="2" t="inlineStr">
        <is>
          <t>Norway</t>
        </is>
      </c>
      <c r="D11" s="2" t="inlineStr">
        <is>
          <t>60.0237, 10.2475 (Utøya)</t>
        </is>
      </c>
      <c r="E11" s="2" t="inlineStr">
        <is>
          <t>Government district + youth camp</t>
        </is>
      </c>
      <c r="F11" s="2" t="inlineStr">
        <is>
          <t>Lone actor (far-right)</t>
        </is>
      </c>
      <c r="G11" s="2" t="inlineStr">
        <is>
          <t>77 dead; a bomb as diversion, then a methodical island shooting</t>
        </is>
      </c>
      <c r="H11" s="2" t="inlineStr">
        <is>
          <t>Isolated gathering sites (islands, camps) have one-exit geometry - the setting lesson</t>
        </is>
      </c>
      <c r="J11" t="n">
        <v>10.2475</v>
      </c>
      <c r="K11" t="n">
        <v>60.0237</v>
      </c>
      <c r="L11" t="inlineStr">
        <is>
          <t>Utøya &amp; Oslo attacks</t>
        </is>
      </c>
    </row>
    <row r="12">
      <c r="A12" s="2" t="inlineStr">
        <is>
          <t>Westgate mall attack</t>
        </is>
      </c>
      <c r="B12" s="2" t="n">
        <v>2013</v>
      </c>
      <c r="C12" s="2" t="inlineStr">
        <is>
          <t>Nairobi, Kenya</t>
        </is>
      </c>
      <c r="D12" s="2" t="inlineStr">
        <is>
          <t>-1.2566, 36.8039</t>
        </is>
      </c>
      <c r="E12" s="2" t="inlineStr">
        <is>
          <t>Shopping mall</t>
        </is>
      </c>
      <c r="F12" s="2" t="inlineStr">
        <is>
          <t>Al-Shabaab cell</t>
        </is>
      </c>
      <c r="G12" s="2" t="inlineStr">
        <is>
          <t>Four-day siege; 67 dead</t>
        </is>
      </c>
      <c r="H12" s="2" t="inlineStr">
        <is>
          <t>Malls: service corridors and loading docks are exits staff know and shoppers do not - ask once, remember</t>
        </is>
      </c>
      <c r="J12" t="n">
        <v>36.8039</v>
      </c>
      <c r="K12" t="n">
        <v>-1.2566</v>
      </c>
      <c r="L12" t="inlineStr">
        <is>
          <t>Westgate mall attack</t>
        </is>
      </c>
    </row>
    <row r="13">
      <c r="A13" s="2" t="inlineStr">
        <is>
          <t>Boston Marathon bombing</t>
        </is>
      </c>
      <c r="B13" s="2" t="n">
        <v>2013</v>
      </c>
      <c r="C13" s="2" t="inlineStr">
        <is>
          <t>Boston, USA</t>
        </is>
      </c>
      <c r="D13" s="2" t="inlineStr">
        <is>
          <t>42.3498, -71.0788</t>
        </is>
      </c>
      <c r="E13" s="2" t="inlineStr">
        <is>
          <t>Marathon finish line</t>
        </is>
      </c>
      <c r="F13" s="2" t="inlineStr">
        <is>
          <t>Two brothers (lone pair)</t>
        </is>
      </c>
      <c r="G13" s="2" t="inlineStr">
        <is>
          <t>Pressure-cooker bombs in backpacks; 3 dead, hundreds maimed; citywide manhunt followed</t>
        </is>
      </c>
      <c r="H13" s="2" t="inlineStr">
        <is>
          <t>Backpacks at crowd edges of finish lines are the post-2013 screening reason; manhunt rules are in the actors sheet</t>
        </is>
      </c>
      <c r="J13" t="n">
        <v>-71.0788</v>
      </c>
      <c r="K13" t="n">
        <v>42.3498</v>
      </c>
      <c r="L13" t="inlineStr">
        <is>
          <t>Boston Marathon bombing</t>
        </is>
      </c>
    </row>
    <row r="14">
      <c r="A14" s="2" t="inlineStr">
        <is>
          <t>Peshawar Army Public School attack</t>
        </is>
      </c>
      <c r="B14" s="2" t="n">
        <v>2014</v>
      </c>
      <c r="C14" s="2" t="inlineStr">
        <is>
          <t>Peshawar, Pakistan</t>
        </is>
      </c>
      <c r="D14" s="2" t="inlineStr">
        <is>
          <t>34.0149, 71.5466</t>
        </is>
      </c>
      <c r="E14" s="2" t="inlineStr">
        <is>
          <t>School</t>
        </is>
      </c>
      <c r="F14" s="2" t="inlineStr">
        <is>
          <t>Tehrik-i-Taliban Pakistan (7 gunmen)</t>
        </is>
      </c>
      <c r="G14" s="2" t="inlineStr">
        <is>
          <t>149 dead, mostly schoolchildren</t>
        </is>
      </c>
      <c r="H14" s="2" t="inlineStr">
        <is>
          <t>The school row needs no further argument</t>
        </is>
      </c>
      <c r="J14" t="n">
        <v>71.5466</v>
      </c>
      <c r="K14" t="n">
        <v>34.0149</v>
      </c>
      <c r="L14" t="inlineStr">
        <is>
          <t>Peshawar Army Public School attack</t>
        </is>
      </c>
    </row>
    <row r="15">
      <c r="A15" s="2" t="inlineStr">
        <is>
          <t>Paris November attacks</t>
        </is>
      </c>
      <c r="B15" s="2" t="n">
        <v>2015</v>
      </c>
      <c r="C15" s="2" t="inlineStr">
        <is>
          <t>Paris, France</t>
        </is>
      </c>
      <c r="D15" s="2" t="inlineStr">
        <is>
          <t>48.8631, 2.3709 (Bataclan)</t>
        </is>
      </c>
      <c r="E15" s="2" t="inlineStr">
        <is>
          <t>Stadium, cafes, concert hall</t>
        </is>
      </c>
      <c r="F15" s="2" t="inlineStr">
        <is>
          <t>ISIS-directed cell with accomplices across Belgium</t>
        </is>
      </c>
      <c r="G15" s="2" t="inlineStr">
        <is>
          <t>130 dead in coordinated shootings and suicide bombs</t>
        </is>
      </c>
      <c r="H15" s="2" t="inlineStr">
        <is>
          <t>Terraces + venue + stadium simultaneously - the multi-setting night that made Run Hide Tell public doctrine in Europe</t>
        </is>
      </c>
      <c r="J15" t="n">
        <v>2.3709</v>
      </c>
      <c r="K15" t="n">
        <v>48.8631</v>
      </c>
      <c r="L15" t="inlineStr">
        <is>
          <t>Paris November attacks</t>
        </is>
      </c>
    </row>
    <row r="16">
      <c r="A16" s="2" t="inlineStr">
        <is>
          <t>San Bernardino / Orlando (Pulse)</t>
        </is>
      </c>
      <c r="B16" s="2" t="inlineStr">
        <is>
          <t>2015 / 2016</t>
        </is>
      </c>
      <c r="C16" s="2" t="inlineStr">
        <is>
          <t>California &amp; Florida, USA</t>
        </is>
      </c>
      <c r="D16" s="2" t="inlineStr">
        <is>
          <t>28.5195, -81.3766 (Pulse)</t>
        </is>
      </c>
      <c r="E16" s="2" t="inlineStr">
        <is>
          <t>Workplace party; nightclub</t>
        </is>
      </c>
      <c r="F16" s="2" t="inlineStr">
        <is>
          <t>Lone actors (pledged)</t>
        </is>
      </c>
      <c r="G16" s="2" t="inlineStr">
        <is>
          <t>14 and 49 dead respectively</t>
        </is>
      </c>
      <c r="H16" s="2" t="inlineStr">
        <is>
          <t>Workplaces and nightlife are the US-frequency settings; both events drove Run-Hide-Fight training adoption</t>
        </is>
      </c>
      <c r="J16" t="n">
        <v>-81.3766</v>
      </c>
      <c r="K16" t="n">
        <v>28.5195</v>
      </c>
      <c r="L16" t="inlineStr">
        <is>
          <t>San Bernardino / Orlando (Pulse)</t>
        </is>
      </c>
    </row>
    <row r="17">
      <c r="A17" s="2" t="inlineStr">
        <is>
          <t>Nice truck attack</t>
        </is>
      </c>
      <c r="B17" s="2" t="n">
        <v>2016</v>
      </c>
      <c r="C17" s="2" t="inlineStr">
        <is>
          <t>Nice, France</t>
        </is>
      </c>
      <c r="D17" s="2" t="inlineStr">
        <is>
          <t>43.6947, 7.2620</t>
        </is>
      </c>
      <c r="E17" s="2" t="inlineStr">
        <is>
          <t>Promenade, Bastille Day</t>
        </is>
      </c>
      <c r="F17" s="2" t="inlineStr">
        <is>
          <t>Lone actor</t>
        </is>
      </c>
      <c r="G17" s="2" t="inlineStr">
        <is>
          <t>A rented truck drove 2 km through the crowd; 86 dead</t>
        </is>
      </c>
      <c r="H17" s="2" t="inlineStr">
        <is>
          <t>Bollards and vehicle barriers at pedestrian events worldwide date from this night</t>
        </is>
      </c>
      <c r="J17" t="n">
        <v>7.262</v>
      </c>
      <c r="K17" t="n">
        <v>43.6947</v>
      </c>
      <c r="L17" t="inlineStr">
        <is>
          <t>Nice truck attack</t>
        </is>
      </c>
    </row>
    <row r="18">
      <c r="A18" s="2" t="inlineStr">
        <is>
          <t>Brussels airport &amp; metro attacks</t>
        </is>
      </c>
      <c r="B18" s="2" t="n">
        <v>2016</v>
      </c>
      <c r="C18" s="2" t="inlineStr">
        <is>
          <t>Brussels, Belgium</t>
        </is>
      </c>
      <c r="D18" s="2" t="inlineStr">
        <is>
          <t>50.9010, 4.4844</t>
        </is>
      </c>
      <c r="E18" s="2" t="inlineStr">
        <is>
          <t>Airport landside + metro</t>
        </is>
      </c>
      <c r="F18" s="2" t="inlineStr">
        <is>
          <t>ISIS cell (linked to Paris network)</t>
        </is>
      </c>
      <c r="G18" s="2" t="inlineStr">
        <is>
          <t>32 dead; the airport bombs were in the check-in hall</t>
        </is>
      </c>
      <c r="H18" s="2" t="inlineStr">
        <is>
          <t>Landside dwell time is exposure - the settings guidance in one event</t>
        </is>
      </c>
      <c r="J18" t="n">
        <v>4.4844</v>
      </c>
      <c r="K18" t="n">
        <v>50.901</v>
      </c>
      <c r="L18" t="inlineStr">
        <is>
          <t>Brussels airport &amp; metro attacks</t>
        </is>
      </c>
    </row>
    <row r="19">
      <c r="A19" s="2" t="inlineStr">
        <is>
          <t>Berlin Christmas market attack</t>
        </is>
      </c>
      <c r="B19" s="2" t="n">
        <v>2016</v>
      </c>
      <c r="C19" s="2" t="inlineStr">
        <is>
          <t>Berlin, Germany</t>
        </is>
      </c>
      <c r="D19" s="2" t="inlineStr">
        <is>
          <t>52.5049, 13.3352</t>
        </is>
      </c>
      <c r="E19" s="2" t="inlineStr">
        <is>
          <t>Christmas market</t>
        </is>
      </c>
      <c r="F19" s="2" t="inlineStr">
        <is>
          <t>Lone actor (failed asylum seeker, pledged)</t>
        </is>
      </c>
      <c r="G19" s="2" t="inlineStr">
        <is>
          <t>A hijacked truck; 12 dead; attacker fled across Europe (fugitive phase)</t>
        </is>
      </c>
      <c r="H19" s="2" t="inlineStr">
        <is>
          <t>Market vehicle barriers; also the fugitive lesson: he was stopped by an alert patrol in Italy days later</t>
        </is>
      </c>
      <c r="J19" t="n">
        <v>13.3352</v>
      </c>
      <c r="K19" t="n">
        <v>52.5049</v>
      </c>
      <c r="L19" t="inlineStr">
        <is>
          <t>Berlin Christmas market attack</t>
        </is>
      </c>
    </row>
    <row r="20">
      <c r="A20" s="2" t="inlineStr">
        <is>
          <t>Manchester Arena bombing</t>
        </is>
      </c>
      <c r="B20" s="2" t="n">
        <v>2017</v>
      </c>
      <c r="C20" s="2" t="inlineStr">
        <is>
          <t>Manchester, UK</t>
        </is>
      </c>
      <c r="D20" s="2" t="inlineStr">
        <is>
          <t>53.4881, -2.2439</t>
        </is>
      </c>
      <c r="E20" s="2" t="inlineStr">
        <is>
          <t>Arena foyer</t>
        </is>
      </c>
      <c r="F20" s="2" t="inlineStr">
        <is>
          <t>Lone actor with family accomplices</t>
        </is>
      </c>
      <c r="G20" s="2" t="inlineStr">
        <is>
          <t>Suicide bomb in the foyer at concert end; 22 dead, mostly young</t>
        </is>
      </c>
      <c r="H20" s="2" t="inlineStr">
        <is>
          <t>The finale/foyer geometry: timed for the exit surge - leaving minutes early is a real countermeasure</t>
        </is>
      </c>
      <c r="J20" t="n">
        <v>-2.2439</v>
      </c>
      <c r="K20" t="n">
        <v>53.4881</v>
      </c>
      <c r="L20" t="inlineStr">
        <is>
          <t>Manchester Arena bombing</t>
        </is>
      </c>
    </row>
    <row r="21">
      <c r="A21" s="2" t="inlineStr">
        <is>
          <t>Las Ramblas attack</t>
        </is>
      </c>
      <c r="B21" s="2" t="n">
        <v>2017</v>
      </c>
      <c r="C21" s="2" t="inlineStr">
        <is>
          <t>Barcelona, Spain</t>
        </is>
      </c>
      <c r="D21" s="2" t="inlineStr">
        <is>
          <t>41.3810, 2.1730</t>
        </is>
      </c>
      <c r="E21" s="2" t="inlineStr">
        <is>
          <t>Pedestrian boulevard</t>
        </is>
      </c>
      <c r="F21" s="2" t="inlineStr">
        <is>
          <t>Cell (with accidental precursor explosion in their safe house)</t>
        </is>
      </c>
      <c r="G21" s="2" t="inlineStr">
        <is>
          <t>A van zig-zagged the boulevard; 13 dead</t>
        </is>
      </c>
      <c r="H21" s="2" t="inlineStr">
        <is>
          <t>A cell's preparation accident (Alcanar) is the kind of anomaly neighbours reported - report gas/chemical anomalies at rental properties</t>
        </is>
      </c>
      <c r="J21" t="n">
        <v>2.173</v>
      </c>
      <c r="K21" t="n">
        <v>41.381</v>
      </c>
      <c r="L21" t="inlineStr">
        <is>
          <t>Las Ramblas attack</t>
        </is>
      </c>
    </row>
    <row r="22">
      <c r="A22" s="2" t="inlineStr">
        <is>
          <t>Sri Lanka Easter bombings</t>
        </is>
      </c>
      <c r="B22" s="2" t="n">
        <v>2019</v>
      </c>
      <c r="C22" s="2" t="inlineStr">
        <is>
          <t>Colombo &amp; Negombo &amp; Batticaloa, Sri Lanka</t>
        </is>
      </c>
      <c r="D22" s="2" t="inlineStr">
        <is>
          <t>6.9271, 79.8612</t>
        </is>
      </c>
      <c r="E22" s="2" t="inlineStr">
        <is>
          <t>Churches + hotels</t>
        </is>
      </c>
      <c r="F22" s="2" t="inlineStr">
        <is>
          <t>Local group (NTJ) with ISIS links</t>
        </is>
      </c>
      <c r="G22" s="2" t="inlineStr">
        <is>
          <t>Eight near-simultaneous suicide bombs; 269 dead</t>
        </is>
      </c>
      <c r="H22" s="2" t="inlineStr">
        <is>
          <t>Worship + hotel settings in one morning; festival-day bunching at doors</t>
        </is>
      </c>
      <c r="J22" t="n">
        <v>79.8612</v>
      </c>
      <c r="K22" t="n">
        <v>6.9271</v>
      </c>
      <c r="L22" t="inlineStr">
        <is>
          <t>Sri Lanka Easter bombings</t>
        </is>
      </c>
    </row>
    <row r="23">
      <c r="A23" s="2" t="inlineStr">
        <is>
          <t>Christchurch mosque attacks</t>
        </is>
      </c>
      <c r="B23" s="2" t="n">
        <v>2019</v>
      </c>
      <c r="C23" s="2" t="inlineStr">
        <is>
          <t>Christchurch, New Zealand</t>
        </is>
      </c>
      <c r="D23" s="2" t="inlineStr">
        <is>
          <t>-43.5321, 172.6362</t>
        </is>
      </c>
      <c r="E23" s="2" t="inlineStr">
        <is>
          <t>Two mosques, Friday prayers</t>
        </is>
      </c>
      <c r="F23" s="2" t="inlineStr">
        <is>
          <t>Lone actor (far-right, livestreamed)</t>
        </is>
      </c>
      <c r="G23" s="2" t="inlineStr">
        <is>
          <t>51 dead; the attack was broadcast live by the attacker</t>
        </is>
      </c>
      <c r="H23" s="2" t="inlineStr">
        <is>
          <t>Do not share attacker footage - distribution is part of the weapon; report the original to police/platforms</t>
        </is>
      </c>
      <c r="J23" t="n">
        <v>172.6362</v>
      </c>
      <c r="K23" t="n">
        <v>-43.5321</v>
      </c>
      <c r="L23" t="inlineStr">
        <is>
          <t>Christchurch mosque attacks</t>
        </is>
      </c>
    </row>
    <row r="24">
      <c r="A24" s="2" t="inlineStr">
        <is>
          <t>Kabul airport attack</t>
        </is>
      </c>
      <c r="B24" s="2" t="n">
        <v>2021</v>
      </c>
      <c r="C24" s="2" t="inlineStr">
        <is>
          <t>Kabul, Afghanistan</t>
        </is>
      </c>
      <c r="D24" s="2" t="inlineStr">
        <is>
          <t>34.5659, 69.2818</t>
        </is>
      </c>
      <c r="E24" s="2" t="inlineStr">
        <is>
          <t>Airport gate crowd (evacuation)</t>
        </is>
      </c>
      <c r="F24" s="2" t="inlineStr">
        <is>
          <t>ISIS-K suicide bomber</t>
        </is>
      </c>
      <c r="G24" s="2" t="inlineStr">
        <is>
          <t>170+ Afghans and 13 US personnel dead at the Abbey Gate crowd</t>
        </is>
      </c>
      <c r="H24" s="2" t="inlineStr">
        <is>
          <t>Evacuation crowds at gates are the extreme form of bunching - authorities now treat gate geometry as a weapon</t>
        </is>
      </c>
      <c r="J24" t="n">
        <v>69.2818</v>
      </c>
      <c r="K24" t="n">
        <v>34.5659</v>
      </c>
      <c r="L24" t="inlineStr">
        <is>
          <t>Kabul airport attack</t>
        </is>
      </c>
    </row>
    <row r="25">
      <c r="A25" s="2" t="inlineStr">
        <is>
          <t>Itaewon crowd crush (not an attack)</t>
        </is>
      </c>
      <c r="B25" s="2" t="n">
        <v>2022</v>
      </c>
      <c r="C25" s="2" t="inlineStr">
        <is>
          <t>Seoul, South Korea</t>
        </is>
      </c>
      <c r="D25" s="2" t="inlineStr">
        <is>
          <t>37.5345, 126.9946</t>
        </is>
      </c>
      <c r="E25" s="2" t="inlineStr">
        <is>
          <t>Nightlife alley, Halloween</t>
        </is>
      </c>
      <c r="F25" s="2" t="inlineStr">
        <is>
          <t>None - crowd density itself</t>
        </is>
      </c>
      <c r="G25" s="2" t="inlineStr">
        <is>
          <t>159 dead in a sloped 4-metre alley at peak density</t>
        </is>
      </c>
      <c r="H25" s="2" t="inlineStr">
        <is>
          <t>The deadliest entry on this list with no attacker: density is a hazard class of its own - see the crowd-crush plot row</t>
        </is>
      </c>
      <c r="J25" t="n">
        <v>126.9946</v>
      </c>
      <c r="K25" t="n">
        <v>37.5345</v>
      </c>
      <c r="L25" t="inlineStr">
        <is>
          <t>Itaewon crowd crush (not an attack)</t>
        </is>
      </c>
    </row>
    <row r="26">
      <c r="A26" s="2" t="inlineStr">
        <is>
          <t>Re'im music festival attack</t>
        </is>
      </c>
      <c r="B26" s="2" t="n">
        <v>2023</v>
      </c>
      <c r="C26" s="2" t="inlineStr">
        <is>
          <t>Negev, Israel</t>
        </is>
      </c>
      <c r="D26" s="2" t="inlineStr">
        <is>
          <t>31.3987, 34.4717</t>
        </is>
      </c>
      <c r="E26" s="2" t="inlineStr">
        <is>
          <t>Open-air festival</t>
        </is>
      </c>
      <c r="F26" s="2" t="inlineStr">
        <is>
          <t>Hamas assault force (part of a mass cross-border attack)</t>
        </is>
      </c>
      <c r="G26" s="2" t="inlineStr">
        <is>
          <t>364 festival-goers killed among 1,200+ total that day</t>
        </is>
      </c>
      <c r="H26" s="2" t="inlineStr">
        <is>
          <t>Festivals near conflict borders carry the border's risk; event security perimeters and exits are the lesson taken worldwide</t>
        </is>
      </c>
      <c r="J26" t="n">
        <v>34.4717</v>
      </c>
      <c r="K26" t="n">
        <v>31.3987</v>
      </c>
      <c r="L26" t="inlineStr">
        <is>
          <t>Re'im music festival attack</t>
        </is>
      </c>
    </row>
    <row r="27">
      <c r="A27" s="2" t="inlineStr">
        <is>
          <t>Moscow Crocus City Hall attack</t>
        </is>
      </c>
      <c r="B27" s="2" t="n">
        <v>2024</v>
      </c>
      <c r="C27" s="2" t="inlineStr">
        <is>
          <t>Krasnogorsk, Russia</t>
        </is>
      </c>
      <c r="D27" s="2" t="inlineStr">
        <is>
          <t>55.8311, 37.3903</t>
        </is>
      </c>
      <c r="E27" s="2" t="inlineStr">
        <is>
          <t>Concert hall + fire</t>
        </is>
      </c>
      <c r="F27" s="2" t="inlineStr">
        <is>
          <t>ISIS-K cell (4 gunmen)</t>
        </is>
      </c>
      <c r="G27" s="2" t="inlineStr">
        <is>
          <t>145 dead; shooting followed by arson of the hall</t>
        </is>
      </c>
      <c r="H27" s="2" t="inlineStr">
        <is>
          <t>Fire + firearms combined: exits and smoke discipline decided survival as much as the shooting did</t>
        </is>
      </c>
      <c r="J27" t="n">
        <v>37.3903</v>
      </c>
      <c r="K27" t="n">
        <v>55.8311</v>
      </c>
      <c r="L27" t="inlineStr">
        <is>
          <t>Moscow Crocus City Hall attack</t>
        </is>
      </c>
    </row>
  </sheetData>
  <autoFilter ref="A1:H27"/>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26" customWidth="1" min="1" max="1"/>
    <col width="66" customWidth="1" min="2" max="2"/>
    <col width="52" customWidth="1" min="3" max="3"/>
    <col width="66" customWidth="1" min="4" max="4"/>
  </cols>
  <sheetData>
    <row r="1">
      <c r="A1" s="1" t="inlineStr">
        <is>
          <t>Country / State</t>
        </is>
      </c>
      <c r="B1" s="1" t="inlineStr">
        <is>
          <t>Principal Dangers of Concern</t>
        </is>
      </c>
      <c r="C1" s="1" t="inlineStr">
        <is>
          <t>Settings of Concern</t>
        </is>
      </c>
      <c r="D1" s="1" t="inlineStr">
        <is>
          <t>Note for Citizens / Travellers</t>
        </is>
      </c>
    </row>
    <row r="2">
      <c r="A2" s="2" t="inlineStr">
        <is>
          <t>Afghanistan</t>
        </is>
      </c>
      <c r="B2" s="2" t="inlineStr">
        <is>
          <t>Insurgent/terror government, ISIS-K attacks, kidnapping</t>
        </is>
      </c>
      <c r="C2" s="2" t="inlineStr">
        <is>
          <t>Airport gates, mosques, schools, markets</t>
        </is>
      </c>
      <c r="D2" s="2" t="inlineStr">
        <is>
          <t>Do-not-travel tier in most Western advisories</t>
        </is>
      </c>
    </row>
    <row r="3">
      <c r="A3" s="2" t="inlineStr">
        <is>
          <t>Burkina Faso / Mali / Niger (Sahel)</t>
        </is>
      </c>
      <c r="B3" s="2" t="inlineStr">
        <is>
          <t>Jihadist insurgency, massacres, kidnapping of foreigners, PMC presence</t>
        </is>
      </c>
      <c r="C3" s="2" t="inlineStr">
        <is>
          <t>Roads, mines, villages, hotels</t>
        </is>
      </c>
      <c r="D3" s="2" t="inlineStr">
        <is>
          <t>Most of the territory outside capitals is no-go in advisories</t>
        </is>
      </c>
    </row>
    <row r="4">
      <c r="A4" s="2" t="inlineStr">
        <is>
          <t>Somalia</t>
        </is>
      </c>
      <c r="B4" s="2" t="inlineStr">
        <is>
          <t>Al-Shabaab bombings and sieges</t>
        </is>
      </c>
      <c r="C4" s="2" t="inlineStr">
        <is>
          <t>Hotels, government districts, markets in Mogadishu</t>
        </is>
      </c>
      <c r="D4" s="2" t="inlineStr">
        <is>
          <t>Hotel sieges are the signature pattern</t>
        </is>
      </c>
    </row>
    <row r="5">
      <c r="A5" s="2" t="inlineStr">
        <is>
          <t>Nigeria</t>
        </is>
      </c>
      <c r="B5" s="2" t="inlineStr">
        <is>
          <t>Boko Haram/ISWAP (northeast), mass kidnapping (northwest banditry), separatist violence (southeast)</t>
        </is>
      </c>
      <c r="C5" s="2" t="inlineStr">
        <is>
          <t>Schools, highways, churches, farms</t>
        </is>
      </c>
      <c r="D5" s="2" t="inlineStr">
        <is>
          <t>Risk is regional within the country - the map matters more than the flag</t>
        </is>
      </c>
    </row>
    <row r="6">
      <c r="A6" s="2" t="inlineStr">
        <is>
          <t>Haiti</t>
        </is>
      </c>
      <c r="B6" s="2" t="inlineStr">
        <is>
          <t>Gang territorial control of the capital, mass kidnapping</t>
        </is>
      </c>
      <c r="C6" s="2" t="inlineStr">
        <is>
          <t>Roads, neighbourhoods of Port-au-Prince</t>
        </is>
      </c>
      <c r="D6" s="2" t="inlineStr">
        <is>
          <t>State authority has collapsed in much of the capital</t>
        </is>
      </c>
    </row>
    <row r="7">
      <c r="A7" s="2" t="inlineStr">
        <is>
          <t>Mexico</t>
        </is>
      </c>
      <c r="B7" s="2" t="inlineStr">
        <is>
          <t>Cartel violence, express kidnapping, carjacking</t>
        </is>
      </c>
      <c r="C7" s="2" t="inlineStr">
        <is>
          <t>Specific states/corridors (Sinaloa, Tamaulipas, Colima, Guerrero), highways at night</t>
        </is>
      </c>
      <c r="D7" s="2" t="inlineStr">
        <is>
          <t>Tourist zones vary sharply from cartel-contested states - state-level reading is literal here</t>
        </is>
      </c>
    </row>
    <row r="8">
      <c r="A8" s="2" t="inlineStr">
        <is>
          <t>Ecuador</t>
        </is>
      </c>
      <c r="B8" s="2" t="inlineStr">
        <is>
          <t>Cartel-faction war, prison massacres, armed robbery</t>
        </is>
      </c>
      <c r="C8" s="2" t="inlineStr">
        <is>
          <t>Guayaquil and coastal provinces, prisons</t>
        </is>
      </c>
      <c r="D8" s="2" t="inlineStr">
        <is>
          <t>Deteriorated within five years from a low-risk baseline - the cautionary example that risk maps expire</t>
        </is>
      </c>
    </row>
    <row r="9">
      <c r="A9" s="2" t="inlineStr">
        <is>
          <t>Ukraine</t>
        </is>
      </c>
      <c r="B9" s="2" t="inlineStr">
        <is>
          <t>War: missile/drone strikes on cities, infrastructure attacks</t>
        </is>
      </c>
      <c r="C9" s="2" t="inlineStr">
        <is>
          <t>Energy infrastructure, city centres, frontline regions</t>
        </is>
      </c>
      <c r="D9" s="2" t="inlineStr">
        <is>
          <t>Air-raid alert discipline is the citizen skill; alerts are public and app-based</t>
        </is>
      </c>
    </row>
    <row r="10">
      <c r="A10" s="2" t="inlineStr">
        <is>
          <t>Russia</t>
        </is>
      </c>
      <c r="B10" s="2" t="inlineStr">
        <is>
          <t>War spillover attacks (ISIS-K), drone strikes, detention risk for foreigners</t>
        </is>
      </c>
      <c r="C10" s="2" t="inlineStr">
        <is>
          <t>Concert venues, border regions, transport</t>
        </is>
      </c>
      <c r="D10" s="2" t="inlineStr">
        <is>
          <t>Foreign nationals face arbitrary-detention advisories from multiple governments</t>
        </is>
      </c>
    </row>
    <row r="11">
      <c r="A11" s="2" t="inlineStr">
        <is>
          <t>Israel &amp; Palestinian territories</t>
        </is>
      </c>
      <c r="B11" s="2" t="inlineStr">
        <is>
          <t>Cross-border attacks, stabbing/shooting attacks, rocket fire, war</t>
        </is>
      </c>
      <c r="C11" s="2" t="inlineStr">
        <is>
          <t>Festivals near Gaza, Jerusalem flashpoints, checkpoints</t>
        </is>
      </c>
      <c r="D11" s="2" t="inlineStr">
        <is>
          <t>Alert apps and shelter locations are public infrastructure - learn them on arrival</t>
        </is>
      </c>
    </row>
    <row r="12">
      <c r="A12" s="2" t="inlineStr">
        <is>
          <t>Lebanon</t>
        </is>
      </c>
      <c r="B12" s="2" t="inlineStr">
        <is>
          <t>Border war spillover, sectarian flashpoints, economic-collapse crime</t>
        </is>
      </c>
      <c r="C12" s="2" t="inlineStr">
        <is>
          <t>Southern suburbs, border zone, banks (collapse-era robberies)</t>
        </is>
      </c>
      <c r="D12" s="2" t="inlineStr">
        <is>
          <t>Risk concentrates in specific districts</t>
        </is>
      </c>
    </row>
    <row r="13">
      <c r="A13" s="2" t="inlineStr">
        <is>
          <t>Pakistan</t>
        </is>
      </c>
      <c r="B13" s="2" t="inlineStr">
        <is>
          <t>TTP and Baloch separatist attacks, sectarian bombings</t>
        </is>
      </c>
      <c r="C13" s="2" t="inlineStr">
        <is>
          <t>Schools, mosques, markets, Balochistan and KP regions</t>
        </is>
      </c>
      <c r="D13" s="2" t="inlineStr">
        <is>
          <t>Regional variation is extreme; Punjab cities are a different risk world from the frontier</t>
        </is>
      </c>
    </row>
    <row r="14">
      <c r="A14" s="2" t="inlineStr">
        <is>
          <t>Philippines</t>
        </is>
      </c>
      <c r="B14" s="2" t="inlineStr">
        <is>
          <t>Abu Sayyaf kidnapping (Sulu archipelago), communist insurgency (rural), drug-war violence legacy</t>
        </is>
      </c>
      <c r="C14" s="2" t="inlineStr">
        <is>
          <t>Southern waters, resorts in the far south</t>
        </is>
      </c>
      <c r="D14" s="2" t="inlineStr">
        <is>
          <t>The kidnap-for-ransom maritime pattern is specific to the Sulu/Celebes seas</t>
        </is>
      </c>
    </row>
    <row r="15">
      <c r="A15" s="2" t="inlineStr">
        <is>
          <t>Myanmar</t>
        </is>
      </c>
      <c r="B15" s="2" t="inlineStr">
        <is>
          <t>Civil war: airstrikes on gatherings, resistance/insurgent fighting</t>
        </is>
      </c>
      <c r="C15" s="2" t="inlineStr">
        <is>
          <t>Markets, festivals, schools in contested regions</t>
        </is>
      </c>
      <c r="D15" s="2" t="inlineStr">
        <is>
          <t>Airstrikes on civilian gatherings are this war's signature atrocity pattern</t>
        </is>
      </c>
    </row>
    <row r="16">
      <c r="A16" s="2" t="inlineStr">
        <is>
          <t>Sudan</t>
        </is>
      </c>
      <c r="B16" s="2" t="inlineStr">
        <is>
          <t>Civil war: massacres, famine as a weapon</t>
        </is>
      </c>
      <c r="C16" s="2" t="inlineStr">
        <is>
          <t>Khartoum, Darfur cities</t>
        </is>
      </c>
      <c r="D16" s="2" t="inlineStr">
        <is>
          <t>State collapse war; humanitarian corridors are the citizen question</t>
        </is>
      </c>
    </row>
    <row r="17">
      <c r="A17" s="2" t="inlineStr">
        <is>
          <t>India</t>
        </is>
      </c>
      <c r="B17" s="2" t="inlineStr">
        <is>
          <t>Maoist insurgency (central corridor), Kashmir militancy, communal mob violence, crowd crushes at pilgrimages</t>
        </is>
      </c>
      <c r="C17" s="2" t="inlineStr">
        <is>
          <t>Pilgrimage routes, Kashmir, Chhattisgarh corridor</t>
        </is>
      </c>
      <c r="D17" s="2" t="inlineStr">
        <is>
          <t>The crowd-crush and mob rows of the plots sheet are the high-frequency Indian risks</t>
        </is>
      </c>
    </row>
    <row r="18">
      <c r="A18" s="2" t="inlineStr">
        <is>
          <t>Indonesia</t>
        </is>
      </c>
      <c r="B18" s="2" t="inlineStr">
        <is>
          <t>Residual jihadist cells, church bombings (Surabaya 2018 family suicide attacks)</t>
        </is>
      </c>
      <c r="C18" s="2" t="inlineStr">
        <is>
          <t>Churches, police posts, tourist nightlife (Bali precedent)</t>
        </is>
      </c>
      <c r="D18" s="2" t="inlineStr">
        <is>
          <t>Family-unit attacks (Surabaya) changed the lone-actor model - children were used as bombers</t>
        </is>
      </c>
    </row>
    <row r="19">
      <c r="A19" s="2" t="inlineStr">
        <is>
          <t>France / Belgium</t>
        </is>
      </c>
      <c r="B19" s="2" t="inlineStr">
        <is>
          <t>Jihadist lone actors and cells, knife attacks</t>
        </is>
      </c>
      <c r="C19" s="2" t="inlineStr">
        <is>
          <t>Terraces, markets, worship, transit</t>
        </is>
      </c>
      <c r="D19" s="2" t="inlineStr">
        <is>
          <t>Europe's highest attack frequency of the 2015-2025 period; Run Hide Tell equivalents are official doctrine</t>
        </is>
      </c>
    </row>
    <row r="20">
      <c r="A20" s="2" t="inlineStr">
        <is>
          <t>United Kingdom</t>
        </is>
      </c>
      <c r="B20" s="2" t="inlineStr">
        <is>
          <t>Lone-actor knife/vehicle attacks, residual Northern Ireland dissident activity</t>
        </is>
      </c>
      <c r="C20" s="2" t="inlineStr">
        <is>
          <t>Bridges, markets, transit, worship</t>
        </is>
      </c>
      <c r="D20" s="2" t="inlineStr">
        <is>
          <t>ACT (Action Counters Terrorism) is the official public reporting channel</t>
        </is>
      </c>
    </row>
    <row r="21">
      <c r="A21" s="2" t="inlineStr">
        <is>
          <t>Germany</t>
        </is>
      </c>
      <c r="B21" s="2" t="inlineStr">
        <is>
          <t>Knife and vehicle attacks (markets, festivals), far-right plots</t>
        </is>
      </c>
      <c r="C21" s="2" t="inlineStr">
        <is>
          <t>Christmas markets, festivals, asylum housing (arson target)</t>
        </is>
      </c>
      <c r="D21" s="2" t="inlineStr">
        <is>
          <t>Market/festival vehicle barriers are now standard fittings</t>
        </is>
      </c>
    </row>
    <row r="22">
      <c r="A22" s="2" t="inlineStr">
        <is>
          <t>United States</t>
        </is>
      </c>
      <c r="B22" s="2" t="inlineStr">
        <is>
          <t>Mass shootings (all motives, highest frequency), lone-actor terror, swatting, substation sabotage</t>
        </is>
      </c>
      <c r="C22" s="2" t="inlineStr">
        <is>
          <t>Schools, workplaces, worship, concerts, parades</t>
        </is>
      </c>
      <c r="D22" s="2" t="inlineStr">
        <is>
          <t>Run-Hide-Fight is the official public doctrine (DHS/FBI); leakage reporting is the prevention emphasis</t>
        </is>
      </c>
    </row>
    <row r="23">
      <c r="A23" s="2" t="inlineStr">
        <is>
          <t>Canada</t>
        </is>
      </c>
      <c r="B23" s="2" t="inlineStr">
        <is>
          <t>Lone-actor vehicle/knife attacks (Toronto van 2018, London ON 2021), rare but present</t>
        </is>
      </c>
      <c r="C23" s="2" t="inlineStr">
        <is>
          <t>Sidewalks, transit, worship</t>
        </is>
      </c>
      <c r="D23" s="2" t="inlineStr">
        <is>
          <t>Lower frequency, same patterns; Toronto 2018 is the vehicle row's local entry</t>
        </is>
      </c>
    </row>
    <row r="24">
      <c r="A24" s="2" t="inlineStr">
        <is>
          <t>Australia</t>
        </is>
      </c>
      <c r="B24" s="2" t="inlineStr">
        <is>
          <t>Lone-actor knife attacks (Bondi Junction 2024 - non-ideological), the Lindt siege precedent</t>
        </is>
      </c>
      <c r="C24" s="2" t="inlineStr">
        <is>
          <t>Shopping centres, cafes</t>
        </is>
      </c>
      <c r="D24" s="2" t="inlineStr">
        <is>
          <t>ESCAPE. HIDE. TELL. is the official Australian doctrine wording</t>
        </is>
      </c>
    </row>
    <row r="25">
      <c r="A25" s="2" t="inlineStr">
        <is>
          <t>China</t>
        </is>
      </c>
      <c r="B25" s="2" t="inlineStr">
        <is>
          <t>Mass stabbings/vehicle attacks by aggrieved individuals (schools, hospitals, pedestrian zones), Xinjiang-related restrictions</t>
        </is>
      </c>
      <c r="C25" s="2" t="inlineStr">
        <is>
          <t>School gates, hospitals, public squares</t>
        </is>
      </c>
      <c r="D25" s="2" t="inlineStr">
        <is>
          <t>The pattern is grievance rampage rather than organized terror in recent years</t>
        </is>
      </c>
    </row>
    <row r="26">
      <c r="A26" s="2" t="inlineStr">
        <is>
          <t>Japan</t>
        </is>
      </c>
      <c r="B26" s="2" t="inlineStr">
        <is>
          <t>Rare events: Aum legacy, lone arson/knife attacks (Kyoto Animation arson 2019, Osaka clinic arson 2021)</t>
        </is>
      </c>
      <c r="C26" s="2" t="inlineStr">
        <is>
          <t>Animation studios, clinics, trains</t>
        </is>
      </c>
      <c r="D26" s="2" t="inlineStr">
        <is>
          <t>Arson of occupied buildings is Japan's mass-casualty pattern - exit awareness is the lesson</t>
        </is>
      </c>
    </row>
  </sheetData>
  <autoFilter ref="A1:D2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34" customWidth="1" min="1" max="1"/>
    <col width="66" customWidth="1" min="2" max="2"/>
    <col width="58" customWidth="1" min="3" max="3"/>
    <col width="72" customWidth="1" min="4" max="4"/>
  </cols>
  <sheetData>
    <row r="1">
      <c r="A1" s="1" t="inlineStr">
        <is>
          <t>Meeting Type</t>
        </is>
      </c>
      <c r="B1" s="1" t="inlineStr">
        <is>
          <t>The Danger Pattern</t>
        </is>
      </c>
      <c r="C1" s="1" t="inlineStr">
        <is>
          <t>Indicators</t>
        </is>
      </c>
      <c r="D1" s="1" t="inlineStr">
        <is>
          <t>Safe-Meeting Protocol (the solution)</t>
        </is>
      </c>
    </row>
    <row r="2">
      <c r="A2" s="2" t="inlineStr">
        <is>
          <t>First date (from an app)</t>
        </is>
      </c>
      <c r="B2" s="2" t="inlineStr">
        <is>
          <t>The meeting-point lure in its commonest form: relocation to a private second location, drink spiking, or a setup for robbery</t>
        </is>
      </c>
      <c r="C2" s="2" t="inlineStr">
        <is>
          <t>Insistence on their place/a car/a second venue; secrecy pressure; a companion who 'happens' to join</t>
        </is>
      </c>
      <c r="D2" s="2" t="inlineStr">
        <is>
          <t>Public staffed venue, daylight or busy evening, your own transport, a friend holding your location and check-in time; no relocation on the first meeting, ever</t>
        </is>
      </c>
    </row>
    <row r="3">
      <c r="A3" s="2" t="inlineStr">
        <is>
          <t>Marketplace buy/sell meetup</t>
        </is>
      </c>
      <c r="B3" s="2" t="inlineStr">
        <is>
          <t>Robbery of the item or the cash, occasionally armed; fake listings for high-value goods (cars, phones, consoles)</t>
        </is>
      </c>
      <c r="C3" s="2" t="inlineStr">
        <is>
          <t>Location changed last minute to a private address; price too good; refusal of public venues</t>
        </is>
      </c>
      <c r="D3" s="2" t="inlineStr">
        <is>
          <t>Police-station safe-exchange zones (many cities run them), bank lobbies for payment, bring a second person for high-value items, never carry the full cash visibly</t>
        </is>
      </c>
    </row>
    <row r="4">
      <c r="A4" s="2" t="inlineStr">
        <is>
          <t>Rental / room viewing</t>
        </is>
      </c>
      <c r="B4" s="2" t="inlineStr">
        <is>
          <t>Fake listings lure viewers to empty properties; also a burglary-reconnaissance pattern run in reverse (fake viewers casing homes)</t>
        </is>
      </c>
      <c r="C4" s="2" t="inlineStr">
        <is>
          <t>Agent who will not meet at an office; pressure to bring deposit cash; address that is vacant and isolated</t>
        </is>
      </c>
      <c r="D4" s="2" t="inlineStr">
        <is>
          <t>Verify the listing and agency independently; view with a companion in daylight; no cash deposits on the spot - ever</t>
        </is>
      </c>
    </row>
    <row r="5">
      <c r="A5" s="2" t="inlineStr">
        <is>
          <t>Job interview (unknown employer)</t>
        </is>
      </c>
      <c r="B5" s="2" t="inlineStr">
        <is>
          <t>Fake employers harvest documents (identity theft) or lure to unsafe locations; in some regions, interview lures feed trafficking</t>
        </is>
      </c>
      <c r="C5" s="2" t="inlineStr">
        <is>
          <t>Interview at a residence/hotel room; requests for passport/bank details before any offer; no verifiable company footprint</t>
        </is>
      </c>
      <c r="D5" s="2" t="inlineStr">
        <is>
          <t>Interviews at verifiable business premises; never surrender original documents; tell someone the address and expected duration</t>
        </is>
      </c>
    </row>
    <row r="6">
      <c r="A6" s="2" t="inlineStr">
        <is>
          <t>Protest / demonstration attendance</t>
        </is>
      </c>
      <c r="B6" s="2" t="inlineStr">
        <is>
          <t>Counter-protest clashes, police kettling and charges, lone-actor vehicle attacks on marches, agent-provocateur dynamics</t>
        </is>
      </c>
      <c r="C6" s="2" t="inlineStr">
        <is>
          <t>A march route sharing space with an opposed rally; vehicles idling across the route; sudden police line movements</t>
        </is>
      </c>
      <c r="D6" s="2" t="inlineStr">
        <is>
          <t>Stay mid-crowd but near side-street exits; note the dispersal direction before you need it; leave at the first vehicle or clash signal - the exit-scan habit</t>
        </is>
      </c>
    </row>
    <row r="7">
      <c r="A7" s="2" t="inlineStr">
        <is>
          <t>Religious / community meetings (new group)</t>
        </is>
      </c>
      <c r="B7" s="2" t="inlineStr">
        <is>
          <t>Extremist recruitment pipelines begin as ordinary study/social meetings in some movements; cult isolation also begins here</t>
        </is>
      </c>
      <c r="C7" s="2" t="inlineStr">
        <is>
          <t>Pressure to cut outside ties; escalating us/them teaching; secrecy about the group's own activities</t>
        </is>
      </c>
      <c r="D7" s="2" t="inlineStr">
        <is>
          <t>Healthy groups tolerate questions, outside friendships, and leaving. Any group punishing all three is showing you the mechanism - believe it early</t>
        </is>
      </c>
    </row>
    <row r="8">
      <c r="A8" s="2" t="inlineStr">
        <is>
          <t>Business meeting in an unstable region</t>
        </is>
      </c>
      <c r="B8" s="2" t="inlineStr">
        <is>
          <t>Kidnap targeting of foreign businesspeople is arranged through meeting schedules - the itinerary itself is the vulnerability</t>
        </is>
      </c>
      <c r="C8" s="2" t="inlineStr">
        <is>
          <t>Local partners who publicize the itinerary; unscheduled venue changes; unvetted drivers</t>
        </is>
      </c>
      <c r="D8" s="2" t="inlineStr">
        <is>
          <t>Itineraries on need-to-know; vetted transport; check-in discipline with your organisation; embassy registration</t>
        </is>
      </c>
    </row>
    <row r="9">
      <c r="A9" s="2" t="inlineStr">
        <is>
          <t>Journalist / activist source meetings</t>
        </is>
      </c>
      <c r="B9" s="2" t="inlineStr">
        <is>
          <t>Sources and journalists are surveilled and occasionally attacked at meeting points in authoritarian settings</t>
        </is>
      </c>
      <c r="C9" s="2" t="inlineStr">
        <is>
          <t>The source insisting on a location they control completely; unknown third parties present</t>
        </is>
      </c>
      <c r="D9" s="2" t="inlineStr">
        <is>
          <t>Public, camera-covered, third-party spaces; digital hygiene (the communications compartmentation in this file) matters more than the venue</t>
        </is>
      </c>
    </row>
    <row r="10">
      <c r="A10" s="2" t="inlineStr">
        <is>
          <t>Aid / NGO distribution points</t>
        </is>
      </c>
      <c r="B10" s="2" t="inlineStr">
        <is>
          <t>Distributions are attacked in war zones (the crowd is the target) and looted in collapse zones</t>
        </is>
      </c>
      <c r="C10" s="2" t="inlineStr">
        <is>
          <t>Unannounced schedule changes creating unusual crowding; armed men observing the queue</t>
        </is>
      </c>
      <c r="D10" s="2" t="inlineStr">
        <is>
          <t>Organizers: stagger and decentralize distribution. Recipients: the queue bunching rule - arrive across the window, not at its start</t>
        </is>
      </c>
    </row>
    <row r="11">
      <c r="A11" s="2" t="inlineStr">
        <is>
          <t>Rideshare / taxi pickup (the meeting with a stranger's car)</t>
        </is>
      </c>
      <c r="B11" s="2" t="inlineStr">
        <is>
          <t>Fake rideshare pickups at airports and nightlife exits: the victim gets into the wrong car</t>
        </is>
      </c>
      <c r="C11" s="2" t="inlineStr">
        <is>
          <t>A driver who will not confirm your name/code; a car matching the description but not the plate</t>
        </is>
      </c>
      <c r="D11" s="2" t="inlineStr">
        <is>
          <t>Plate, photo, and the app's PIN feature checked BEFORE the door opens; if anything mismatches, you do not get in - no politeness exception</t>
        </is>
      </c>
    </row>
    <row r="12">
      <c r="A12" s="2" t="inlineStr">
        <is>
          <t>Online-arranged group meetups (hobby, gaming, fandom)</t>
        </is>
      </c>
      <c r="B12" s="2" t="inlineStr">
        <is>
          <t>Generally safe and valuable; the rare risk is one bad actor using the group as access</t>
        </is>
      </c>
      <c r="C12" s="2" t="inlineStr">
        <is>
          <t>A member steering meetups private and one-to-one; secrecy norms forming</t>
        </is>
      </c>
      <c r="D12" s="2" t="inlineStr">
        <is>
          <t>Keep group meetups public and plural; new members meet the group, not an individual, first</t>
        </is>
      </c>
    </row>
    <row r="13">
      <c r="A13" s="2" t="inlineStr">
        <is>
          <t>Family / custody handovers in conflict cases</t>
        </is>
      </c>
      <c r="B13" s="2" t="inlineStr">
        <is>
          <t>Handovers are a documented flashpoint for violence in high-conflict separations</t>
        </is>
      </c>
      <c r="C13" s="2" t="inlineStr">
        <is>
          <t>Threats referencing the handover; a new partner appearing armed or with an entourage</t>
        </is>
      </c>
      <c r="D13" s="2" t="inlineStr">
        <is>
          <t>Neutral staffed handover centres exist in many cities precisely for this; court orders can specify them - use them without embarrassment</t>
        </is>
      </c>
    </row>
  </sheetData>
  <autoFilter ref="A1:D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40" customWidth="1" min="1" max="1"/>
    <col width="52" customWidth="1" min="2" max="2"/>
    <col width="52" customWidth="1" min="3" max="3"/>
    <col width="62" customWidth="1" min="4" max="4"/>
    <col width="44" customWidth="1" min="5" max="5"/>
    <col width="72" customWidth="1" min="6" max="6"/>
  </cols>
  <sheetData>
    <row r="1">
      <c r="A1" s="1" t="inlineStr">
        <is>
          <t>Need</t>
        </is>
      </c>
      <c r="B1" s="1" t="inlineStr">
        <is>
          <t>Official Contact / Database</t>
        </is>
      </c>
      <c r="C1" s="1" t="inlineStr">
        <is>
          <t>Phone / Email (as published in the cited official sources)</t>
        </is>
      </c>
      <c r="D1" s="1" t="inlineStr">
        <is>
          <t>Online Location (verbatim link, retrieved Oct 19, 2026)</t>
        </is>
      </c>
      <c r="E1" s="1" t="inlineStr">
        <is>
          <t>Offline Location</t>
        </is>
      </c>
      <c r="F1" s="1" t="inlineStr">
        <is>
          <t>What It Is For</t>
        </is>
      </c>
    </row>
    <row r="2">
      <c r="A2" s="2" t="inlineStr">
        <is>
          <t>EMERGENCY — attack or danger in progress</t>
        </is>
      </c>
      <c r="B2" s="2" t="inlineStr">
        <is>
          <t>Local emergency number</t>
        </is>
      </c>
      <c r="C2" s="2" t="inlineStr">
        <is>
          <t>911 (Canada/USA) - 999 (UK) - 112 (EU and most networks worldwide)</t>
        </is>
      </c>
      <c r="D2" s="2" t="inlineStr"/>
      <c r="E2" s="2" t="inlineStr">
        <is>
          <t>Where you are</t>
        </is>
      </c>
      <c r="F2" s="2" t="inlineStr">
        <is>
          <t>The only correct first call during an event</t>
        </is>
      </c>
    </row>
    <row r="3">
      <c r="A3" s="2" t="inlineStr">
        <is>
          <t>Report terrorism concerns — Canada</t>
        </is>
      </c>
      <c r="B3" s="2" t="inlineStr">
        <is>
          <t>RCMP National Security Information Network (NSIN)</t>
        </is>
      </c>
      <c r="C3" s="2" t="inlineStr">
        <is>
          <t>Phone 1-800-420-5805 - Email RCMP.NSIN-RISN.GRC@rcmp-grc.gc.ca (per the RCMP reporting guide)</t>
        </is>
      </c>
      <c r="D3" s="2" t="inlineStr">
        <is>
          <t>https://publications.gc.ca/collections/collection_2022/grc-rcmp/PS64-161-2021-eng.pdf</t>
        </is>
      </c>
      <c r="E3" s="2" t="inlineStr">
        <is>
          <t>Any local police station or RCMP detachment; officers can also meet away from the station (per the guide)</t>
        </is>
      </c>
      <c r="F3" s="2" t="inlineStr">
        <is>
          <t>Non-emergency tips about planning, preparation, radicalization to violence; the guide at the link explains what to report and how</t>
        </is>
      </c>
    </row>
    <row r="4">
      <c r="A4" s="2" t="inlineStr">
        <is>
          <t>Report non-imminent threats found online — Canada</t>
        </is>
      </c>
      <c r="B4" s="2" t="inlineStr">
        <is>
          <t>RCMP "Report It" / CSIS</t>
        </is>
      </c>
      <c r="C4" s="2" t="inlineStr">
        <is>
          <t>CSIS 613-993-9620 (per the Five Eyes release carried by newswire.ca)</t>
        </is>
      </c>
      <c r="D4" s="2" t="inlineStr">
        <is>
          <t>https://www.newswire.ca/news-releases/five-eyes-security-and-intelligence-partners-release-report-on-young-people-and-terrorism-866061086.html</t>
        </is>
      </c>
      <c r="E4" s="2" t="inlineStr">
        <is>
          <t>Local police for anything time-sensitive</t>
        </is>
      </c>
      <c r="F4" s="2" t="inlineStr">
        <is>
          <t>Online extremist content, radicalization concerns, youth-focused guidance (the release links onward to the reporting routes)</t>
        </is>
      </c>
    </row>
    <row r="5">
      <c r="A5" s="2" t="inlineStr">
        <is>
          <t>In an attack — United Kingdom doctrine</t>
        </is>
      </c>
      <c r="B5" s="2" t="inlineStr">
        <is>
          <t>ProtectUK (Counter Terrorism Policing)</t>
        </is>
      </c>
      <c r="C5" s="2" t="inlineStr"/>
      <c r="D5" s="2" t="inlineStr">
        <is>
          <t>https://www.protectuk.police.uk/print/pdf/node/431</t>
        </is>
      </c>
      <c r="E5" s="2" t="inlineStr">
        <is>
          <t>Any police officer / venue staff</t>
        </is>
      </c>
      <c r="F5" s="2" t="inlineStr">
        <is>
          <t>RUN HIDE TELL in full official detail, including what police need when you TELL</t>
        </is>
      </c>
    </row>
    <row r="6">
      <c r="A6" s="2" t="inlineStr">
        <is>
          <t>Why Run Hide Tell — official background</t>
        </is>
      </c>
      <c r="B6" s="2" t="inlineStr">
        <is>
          <t>Counter Terrorism Policing (UK)</t>
        </is>
      </c>
      <c r="C6" s="2" t="inlineStr"/>
      <c r="D6" s="2" t="inlineStr">
        <is>
          <t>https://www.counterterrorism.police.uk/news/blog-why-were-talking-about-run-hide-tell/</t>
        </is>
      </c>
      <c r="E6" s="2" t="inlineStr">
        <is>
          <t>—</t>
        </is>
      </c>
      <c r="F6" s="2" t="inlineStr">
        <is>
          <t>The official explanation of the doctrine this section uses</t>
        </is>
      </c>
    </row>
    <row r="7">
      <c r="A7" s="2" t="inlineStr">
        <is>
          <t>Country-by-country danger levels — Canada</t>
        </is>
      </c>
      <c r="B7" s="2" t="inlineStr">
        <is>
          <t>Government of Canada Travel Advice and Advisories</t>
        </is>
      </c>
      <c r="C7" s="2" t="inlineStr"/>
      <c r="D7" s="2" t="inlineStr">
        <is>
          <t>https://travel.gc.ca/travelling/advisories</t>
        </is>
      </c>
      <c r="E7" s="2" t="inlineStr">
        <is>
          <t>Canadian embassies and consulates abroad (addresses via the same site)</t>
        </is>
      </c>
      <c r="F7" s="2" t="inlineStr">
        <is>
          <t>The official risk level for every destination - the source the STATE LIST defers to; check before any travel</t>
        </is>
      </c>
    </row>
    <row r="8">
      <c r="A8" s="2" t="inlineStr">
        <is>
          <t>The incident database — every recorded attack since 1970</t>
        </is>
      </c>
      <c r="B8" s="2" t="inlineStr">
        <is>
          <t>Global Terrorism Database (GTD), START, University of Maryland</t>
        </is>
      </c>
      <c r="C8" s="2" t="inlineStr"/>
      <c r="D8" s="2" t="inlineStr">
        <is>
          <t>https://grevd.org/consortium/partner/gtd</t>
        </is>
      </c>
      <c r="E8" s="2" t="inlineStr">
        <is>
          <t>University of Maryland (research access)</t>
        </is>
      </c>
      <c r="F8" s="2" t="inlineStr">
        <is>
          <t>200,000+ incidents with date, location, weapons, target, casualties, responsible group - the database behind the ERUPTIONS sheet's kind of record. Note: GTD coverage runs to ~2020; current-year tracking is the Global Terrorism Index (IEP)</t>
        </is>
      </c>
    </row>
    <row r="9">
      <c r="A9" s="2" t="inlineStr">
        <is>
          <t>Databases compared — what exists and its limits</t>
        </is>
      </c>
      <c r="B9" s="2" t="inlineStr">
        <is>
          <t>IEEE TechNav chronology-databases overview; Harvard Library research guide</t>
        </is>
      </c>
      <c r="C9" s="2" t="inlineStr"/>
      <c r="D9" s="2" t="inlineStr">
        <is>
          <t>https://technav.ieee.org/topic/terrorist-incident-chronology-databases/</t>
        </is>
      </c>
      <c r="E9" s="2" t="inlineStr">
        <is>
          <t>University libraries</t>
        </is>
      </c>
      <c r="F9" s="2" t="inlineStr">
        <is>
          <t>GTD, RAND Database of Worldwide Terrorism Incidents, CPOST Suicide Attack Database - described and compared, with their underreporting caveats</t>
        </is>
      </c>
    </row>
    <row r="10">
      <c r="A10" s="2" t="inlineStr">
        <is>
          <t>Fugitives — identifying information published BY authorities</t>
        </is>
      </c>
      <c r="B10" s="2" t="inlineStr">
        <is>
          <t>Interpol Red Notices (public search) and national most-wanted lists (e.g., FBI Most Wanted, Europol Most Wanted, RCMP wanted)</t>
        </is>
      </c>
      <c r="C10" s="2" t="inlineStr">
        <is>
          <t>Via each agency (numbers vary by country)</t>
        </is>
      </c>
      <c r="D10" s="2" t="inlineStr">
        <is>
          <t>(Named here without a link rather than a guessed URL: search "Interpol Red Notices" or your national police "most wanted")</t>
        </is>
      </c>
      <c r="E10" s="2" t="inlineStr">
        <is>
          <t>Any police station can act on a sighting</t>
        </is>
      </c>
      <c r="F10" s="2" t="inlineStr">
        <is>
          <t>THIS is where identifying information on fugitives lawfully lives: names, photos, and particulars published by the authorities themselves so citizens can identify and report - kept current, legally vetted, and tied to live cases</t>
        </is>
      </c>
    </row>
    <row r="11">
      <c r="A11" s="2" t="inlineStr">
        <is>
          <t>Safe places to meet / exchange offline</t>
        </is>
      </c>
      <c r="B11" s="2" t="inlineStr">
        <is>
          <t>Police-station safe exchange zones; bank lobbies; embassy/consulate public areas</t>
        </is>
      </c>
      <c r="C11" s="2" t="inlineStr">
        <is>
          <t>Local police non-emergency line for zone locations</t>
        </is>
      </c>
      <c r="D11" s="2" t="inlineStr"/>
      <c r="E11" s="2" t="inlineStr">
        <is>
          <t>Your city police service (many run marked safe-exchange zones in station lots)</t>
        </is>
      </c>
      <c r="F11" s="2" t="inlineStr">
        <is>
          <t>The offline answer to the MEETINGS sheet: staffed, camera-covered, official ground</t>
        </is>
      </c>
    </row>
  </sheetData>
  <autoFilter ref="A1:F1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2026-10-19T09:19:20Z</dcterms:created>
  <dcterms:modified xmlns:dcterms="http://purl.org/dc/terms/" xmlns:xsi="http://www.w3.org/2001/XMLSchema-instance" xsi:type="dcterms:W3CDTF">2026-10-19T12:12:01+00:00Z</dcterms:modified>
</cp:coreProperties>
</file>